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4b0285210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d5aa3ea926254525"/>
    <x:sheet xmlns:r="http://schemas.openxmlformats.org/officeDocument/2006/relationships" name="배분_빈양식" sheetId="2" r:id="R3cabffea06d149cd"/>
    <x:sheet xmlns:r="http://schemas.openxmlformats.org/officeDocument/2006/relationships" name="배분_작성예시" sheetId="3" r:id="R745b98ed28bd49fa"/>
    <x:sheet xmlns:r="http://schemas.openxmlformats.org/officeDocument/2006/relationships" name="정산_빈양식" sheetId="4" r:id="Rca3705592fae4000"/>
    <x:sheet xmlns:r="http://schemas.openxmlformats.org/officeDocument/2006/relationships" name="정산_작성예시" sheetId="5" r:id="R8d0b3e5a4475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-#,##0;0"/>
    <x:numFmt numFmtId="201" formatCode="yyyy-mm-dd"/>
  </x:numFmts>
  <x:fonts count="9">
    <x:font>
      <x:sz val="11"/>
      <x:name val="Carlito"/>
    </x:font>
    <x:font>
      <x:sz val="10"/>
      <x:color rgb="FF233847"/>
      <x:name val="NanumGothic"/>
    </x:font>
    <x:font>
      <x:b/>
      <x:sz val="18"/>
      <x:color rgb="FFFFFFFF"/>
      <x:name val="NanumGothic"/>
    </x:font>
    <x:font>
      <x:sz val="9"/>
      <x:color rgb="FFA34531"/>
      <x:name val="NanumGothic"/>
    </x:font>
    <x:font>
      <x:sz val="9"/>
      <x:color rgb="FF176C9C"/>
      <x:name val="NanumGothic"/>
    </x:font>
    <x:font>
      <x:b/>
      <x:sz val="9"/>
      <x:color rgb="FFFFFFFF"/>
      <x:name val="NanumGothic"/>
    </x:font>
    <x:font>
      <x:sz val="10"/>
      <x:color rgb="FF176C9C"/>
      <x:name val="NanumGothic"/>
    </x:font>
    <x:font>
      <x:b/>
      <x:sz val="10"/>
      <x:color rgb="FF233847"/>
      <x:name val="NanumGothic"/>
    </x:font>
    <x:font>
      <x:sz val="9"/>
      <x:color rgb="FF233847"/>
      <x:name val="Nanum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7"/>
      </x:patternFill>
    </x:fill>
    <x:fill>
      <x:patternFill patternType="solid">
        <x:fgColor rgb="FFF5F1E8"/>
      </x:patternFill>
    </x:fill>
    <x:fill>
      <x:patternFill patternType="solid">
        <x:fgColor rgb="FFF7FBFD"/>
      </x:patternFill>
    </x:fill>
    <x:fill>
      <x:patternFill patternType="solid">
        <x:fgColor rgb="FFF0F0E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34531"/>
      </x:font>
      <x:fill>
        <x:patternFill patternType="solid">
          <x:bgColor rgb="FFFBE7DF"/>
        </x:patternFill>
      </x:fill>
    </x:dxf>
    <x:dxf>
      <x:font>
        <x:color rgb="FFA34531"/>
      </x:font>
      <x:fill>
        <x:patternFill patternType="solid">
          <x:bgColor rgb="FFFBE7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4cce646cb424b" /><Relationship Type="http://schemas.openxmlformats.org/officeDocument/2006/relationships/theme" Target="/xl/theme/theme1.xml" Id="Ra6908aa106644de4" /><Relationship Type="http://schemas.openxmlformats.org/officeDocument/2006/relationships/sharedStrings" Target="/xl/sharedStrings.xml" Id="Rf8a7c053c0544ddf" /><Relationship Type="http://schemas.openxmlformats.org/officeDocument/2006/relationships/worksheet" Target="/xl/worksheets/sheet1.xml" Id="Rd5aa3ea926254525" /><Relationship Type="http://schemas.openxmlformats.org/officeDocument/2006/relationships/worksheet" Target="/xl/worksheets/sheet2.xml" Id="R3cabffea06d149cd" /><Relationship Type="http://schemas.openxmlformats.org/officeDocument/2006/relationships/worksheet" Target="/xl/worksheets/sheet3.xml" Id="R745b98ed28bd49fa" /><Relationship Type="http://schemas.openxmlformats.org/officeDocument/2006/relationships/worksheet" Target="/xl/worksheets/sheet4.xml" Id="Rca3705592fae4000" /><Relationship Type="http://schemas.openxmlformats.org/officeDocument/2006/relationships/worksheet" Target="/xl/worksheets/sheet5.xml" Id="R8d0b3e5a4475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9" t="str">
        <x:v>가족별 재산배분 · 정산계획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자산승계360 자체 참고 양식 · 세액 계산/공식 신고서식 아님 · v1.0 / 2026-09-13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입력은 파란 글씨 / 계산 셀은 회색 바탕 / 빈칸은 미입력, 0원과 다릅니다.</x:v>
      </x:c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2" customHeight="1">
      <x:c r="A7" s="6" t="str">
        <x:v>먼저 ‘배분_작성예시’를 보고 ‘배분_빈양식’에 실제 값을 입력하세요. 금액 단위는 원입니다. 받을 사람의 열 이름은 실제 가족관계에 맞게 수정합니다.</x:v>
      </x:c>
      <x:c r="B7" s="6"/>
      <x:c r="C7" s="6"/>
      <x:c r="D7" s="6"/>
      <x:c r="E7" s="6"/>
      <x:c r="F7" s="6"/>
      <x:c r="G7" s="6"/>
      <x:c r="H7" s="6"/>
    </x:row>
    <x:row r="8" ht="22" customHeight="1">
      <x:c r="A8" s="6"/>
      <x:c r="B8" s="6"/>
      <x:c r="C8" s="6"/>
      <x:c r="D8" s="6"/>
      <x:c r="E8" s="6"/>
      <x:c r="F8" s="6"/>
      <x:c r="G8" s="6"/>
      <x:c r="H8" s="6"/>
    </x:row>
    <x:row r="9" ht="23" customHeight="1">
      <x:c r="A9" s="6"/>
      <x:c r="B9" s="6"/>
      <x:c r="C9" s="6"/>
      <x:c r="D9" s="6"/>
      <x:c r="E9" s="6"/>
      <x:c r="F9" s="6"/>
      <x:c r="G9" s="6"/>
      <x:c r="H9" s="6"/>
    </x:row>
    <x:row r="10" ht="22" customHeight="1">
      <x:c r="A10" s="6" t="str">
        <x:v>이 파일은 가족회의용 계획표입니다. 법정상속분·상속세·권리 이전을 자동 계산하지 않습니다. 협의서에는 금액 외에 재산별 지분·주식수 등 취득 범위를 별도로 적습니다.</x:v>
      </x:c>
      <x:c r="B10" s="6"/>
      <x:c r="C10" s="6"/>
      <x:c r="D10" s="6"/>
      <x:c r="E10" s="6"/>
      <x:c r="F10" s="6"/>
      <x:c r="G10" s="6"/>
      <x:c r="H10" s="6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</x:row>
    <x:row r="13" ht="22" customHeight="1">
      <x:c r="A13" s="6" t="str">
        <x:v>대출은 총액 하나로 받습니다. 임대보증금 반환채무·기타 채무는 중복되지 않게 별도 총액만 적습니다. 은행별 명세를 요구하는 표가 아닙니다.</x:v>
      </x:c>
      <x:c r="B13" s="6"/>
      <x:c r="C13" s="6"/>
      <x:c r="D13" s="6"/>
      <x:c r="E13" s="6"/>
      <x:c r="F13" s="6"/>
      <x:c r="G13" s="6"/>
      <x:c r="H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</x:row>
    <x:row r="16" ht="22" customHeight="1">
      <x:c r="A16" s="6" t="str">
        <x:v>‘정산_작성예시’는 차액 정산 방법을 보여주는 별도 대안 B입니다. 상속재산분할협의서의 무정산 예시와 혼합하지 마세요.</x:v>
      </x:c>
      <x:c r="B16" s="6"/>
      <x:c r="C16" s="6"/>
      <x:c r="D16" s="6"/>
      <x:c r="E16" s="6"/>
      <x:c r="F16" s="6"/>
      <x:c r="G16" s="6"/>
      <x:c r="H16" s="6"/>
    </x:row>
    <x:row r="17" ht="22" customHeight="1">
      <x:c r="A17" s="6"/>
      <x:c r="B17" s="6"/>
      <x:c r="C17" s="6"/>
      <x:c r="D17" s="6"/>
      <x:c r="E17" s="6"/>
      <x:c r="F17" s="6"/>
      <x:c r="G17" s="6"/>
      <x:c r="H17" s="6"/>
    </x:row>
    <x:row r="18" ht="23" customHeight="1">
      <x:c r="A18" s="6"/>
      <x:c r="B18" s="6"/>
      <x:c r="C18" s="6"/>
      <x:c r="D18" s="6"/>
      <x:c r="E18" s="6"/>
      <x:c r="F18" s="6"/>
      <x:c r="G18" s="6"/>
      <x:c r="H18" s="6"/>
    </x:row>
    <x:row r="19" ht="23" customHeight="1">
      <x:c r="A19" s="14" t="str">
        <x:v>공식 안내 참고 · 칸 구성/수식/가상 예시는 자체 제작 · 개별 법률·세무 검토 전</x:v>
      </x:c>
      <x:c r="B19" s="14"/>
      <x:c r="C19" s="14"/>
      <x:c r="D19" s="14"/>
      <x:c r="E19" s="14"/>
      <x:c r="F19" s="14"/>
      <x:c r="G19" s="14"/>
      <x:c r="H19" s="14"/>
    </x:row>
    <x:row r="20" ht="23" customHeight="1">
      <x:c r="A20" s="6"/>
      <x:c r="B20" s="6"/>
      <x:c r="C20" s="6"/>
      <x:c r="D20" s="6"/>
      <x:c r="E20" s="6"/>
      <x:c r="F20" s="6"/>
      <x:c r="G20" s="6"/>
      <x:c r="H20" s="6"/>
    </x:row>
    <x:row r="21" ht="23" customHeight="1">
      <x:c r="A21" s="6" t="str">
        <x:v>[NTS-I] 국세청 | 상속세 신고납부기한·제출대상서류</x:v>
      </x:c>
      <x:c r="B21" s="6"/>
      <x:c r="C21" s="6"/>
      <x:c r="D21" s="6"/>
      <x:c r="E21" s="6"/>
      <x:c r="F21" s="6"/>
      <x:c r="G21" s="6"/>
      <x:c r="H21" s="6"/>
    </x:row>
    <x:row r="22" ht="23" customHeight="1">
      <x:c r="A22" s="16" t="str">
        <x:v>https://www.nts.go.kr/nts/cm/cntnts/cntntsView.do?cntntsId=7719&amp;mi=2325</x:v>
      </x:c>
      <x:c r="B22" s="16"/>
      <x:c r="C22" s="16"/>
      <x:c r="D22" s="16"/>
      <x:c r="E22" s="16"/>
      <x:c r="F22" s="16"/>
      <x:c r="G22" s="16"/>
      <x:c r="H22" s="16"/>
    </x:row>
    <x:row r="23" ht="23" customHeight="1">
      <x:c r="A23" s="16"/>
      <x:c r="B23" s="16"/>
      <x:c r="C23" s="16"/>
      <x:c r="D23" s="16"/>
      <x:c r="E23" s="16"/>
      <x:c r="F23" s="16"/>
      <x:c r="G23" s="16"/>
      <x:c r="H23" s="1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</x:row>
    <x:row r="25" ht="23" customHeight="1">
      <x:c r="A25" s="6" t="str">
        <x:v>[MOLEG-I] 법제처 생활법령정보 | 상속에 의한 소유권 이전등기 제출서류</x:v>
      </x:c>
      <x:c r="B25" s="6"/>
      <x:c r="C25" s="6"/>
      <x:c r="D25" s="6"/>
      <x:c r="E25" s="6"/>
      <x:c r="F25" s="6"/>
      <x:c r="G25" s="6"/>
      <x:c r="H25" s="6"/>
    </x:row>
    <x:row r="26" ht="23" customHeight="1">
      <x:c r="A26" s="16" t="str">
        <x:v>https://www.easylaw.go.kr/CSP/CnpClsMain.laf?ccfNo=3&amp;cciNo=3&amp;cnpClsNo=2&amp;csmSeq=566&amp;popMenu=ov</x:v>
      </x:c>
      <x:c r="B26" s="16"/>
      <x:c r="C26" s="16"/>
      <x:c r="D26" s="16"/>
      <x:c r="E26" s="16"/>
      <x:c r="F26" s="16"/>
      <x:c r="G26" s="16"/>
      <x:c r="H26" s="16"/>
    </x:row>
    <x:row r="27" ht="23" customHeight="1">
      <x:c r="A27" s="16"/>
      <x:c r="B27" s="16"/>
      <x:c r="C27" s="16"/>
      <x:c r="D27" s="16"/>
      <x:c r="E27" s="16"/>
      <x:c r="F27" s="16"/>
      <x:c r="G27" s="16"/>
      <x:c r="H27" s="1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</x:sheetData>
  <x:mergeCells>
    <x:mergeCell ref="A1:H2"/>
    <x:mergeCell ref="A3:H3"/>
    <x:mergeCell ref="A5:H5"/>
    <x:mergeCell ref="A7:H8"/>
    <x:mergeCell ref="A10:H11"/>
    <x:mergeCell ref="A13:H14"/>
    <x:mergeCell ref="A16:H17"/>
    <x:mergeCell ref="A19:H19"/>
    <x:mergeCell ref="A21:H21"/>
    <x:mergeCell ref="A22:H23"/>
    <x:mergeCell ref="A25:H25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21" hidden="0" customWidth="1"/>
  </x:cols>
  <x:sheetData>
    <x:row r="1" ht="24" customHeight="1">
      <x:c r="A1" s="9" t="str">
        <x:v>가족별 재산배분 계획표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12" t="str">
        <x:v>편집용 빈 양식 · 금액은 원 단위 · 미입력은 0원이 아님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3" customHeight="1">
      <x:c r="A5" s="6" t="str">
        <x:v>소유자/피상속인</x:v>
      </x:c>
      <x:c r="B5" s="6"/>
      <x:c r="C5" s="6" t="str">
        <x:v>[성명]</x:v>
      </x:c>
      <x:c r="D5" s="6"/>
      <x:c r="E5" s="6"/>
      <x:c r="F5" s="6" t="str">
        <x:v>평가 기준일</x:v>
      </x:c>
      <x:c r="G5" s="6"/>
      <x:c r="H5" s="6" t="str">
        <x:v>[YYYY-MM-DD]</x:v>
      </x:c>
      <x:c r="I5" s="6"/>
      <x:c r="J5" s="6"/>
    </x:row>
    <x:row r="6" ht="23" customHeight="1">
      <x:c r="A6" s="6" t="str">
        <x:v>재산별 취득 범위를 적은 협의서와 대조하세요. 공동명의 재산은 대상자의 지분가액만 입력합니다.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34" customHeight="1">
      <x:c r="A8" s="19" t="str">
        <x:v>재산</x:v>
      </x:c>
      <x:c r="B8" s="19" t="str">
        <x:v>표시·수량(간략)</x:v>
      </x:c>
      <x:c r="C8" s="19" t="str">
        <x:v>검토가액 (원)</x:v>
      </x:c>
      <x:c r="D8" s="19" t="str">
        <x:v>배우자 배분액</x:v>
      </x:c>
      <x:c r="E8" s="19" t="str">
        <x:v>자녀 A 배분액</x:v>
      </x:c>
      <x:c r="F8" s="19" t="str">
        <x:v>자녀 B 배분액</x:v>
      </x:c>
      <x:c r="G8" s="19" t="str">
        <x:v>기타 배분액</x:v>
      </x:c>
      <x:c r="H8" s="19" t="str">
        <x:v>배분액 합계</x:v>
      </x:c>
      <x:c r="I8" s="19" t="str">
        <x:v>미배분액</x:v>
      </x:c>
      <x:c r="J8" s="19" t="str">
        <x:v>검사</x:v>
      </x:c>
    </x:row>
    <x:row r="9" ht="23" customHeight="1">
      <x:c r="A9" s="24"/>
      <x:c r="B9" s="24"/>
      <x:c r="C9" s="26"/>
      <x:c r="D9" s="26"/>
      <x:c r="E9" s="26"/>
      <x:c r="F9" s="26"/>
      <x:c r="G9" s="26"/>
      <x:c r="H9" s="30" t="str">
        <x:f>IF(COUNT(D9:G9)=0,"",SUM(D9:G9))</x:f>
      </x:c>
      <x:c r="I9" s="30" t="str">
        <x:f>IF(C9="","",C9-SUM(D9:G9))</x:f>
      </x:c>
      <x:c r="J9" s="38" t="str">
        <x:f>IF(COUNTA(A9:G9)=0,"",IF(C9="","평가액 미입력",IF(I9&lt;0,"초과 배분",IF(I9=0,"배분 일치","미배분 있음"))))</x:f>
      </x:c>
    </x:row>
    <x:row r="10" ht="23" customHeight="1">
      <x:c r="A10" s="24"/>
      <x:c r="B10" s="24"/>
      <x:c r="C10" s="26"/>
      <x:c r="D10" s="26"/>
      <x:c r="E10" s="26"/>
      <x:c r="F10" s="26"/>
      <x:c r="G10" s="26"/>
      <x:c r="H10" s="30" t="str">
        <x:f>IF(COUNT(D10:G10)=0,"",SUM(D10:G10))</x:f>
      </x:c>
      <x:c r="I10" s="30" t="str">
        <x:f>IF(C10="","",C10-SUM(D10:G10))</x:f>
      </x:c>
      <x:c r="J10" s="38" t="str">
        <x:f>IF(COUNTA(A10:G10)=0,"",IF(C10="","평가액 미입력",IF(I10&lt;0,"초과 배분",IF(I10=0,"배분 일치","미배분 있음"))))</x:f>
      </x:c>
    </x:row>
    <x:row r="11" ht="23" customHeight="1">
      <x:c r="A11" s="24"/>
      <x:c r="B11" s="24"/>
      <x:c r="C11" s="26"/>
      <x:c r="D11" s="26"/>
      <x:c r="E11" s="26"/>
      <x:c r="F11" s="26"/>
      <x:c r="G11" s="26"/>
      <x:c r="H11" s="30" t="str">
        <x:f>IF(COUNT(D11:G11)=0,"",SUM(D11:G11))</x:f>
      </x:c>
      <x:c r="I11" s="30" t="str">
        <x:f>IF(C11="","",C11-SUM(D11:G11))</x:f>
      </x:c>
      <x:c r="J11" s="38" t="str">
        <x:f>IF(COUNTA(A11:G11)=0,"",IF(C11="","평가액 미입력",IF(I11&lt;0,"초과 배분",IF(I11=0,"배분 일치","미배분 있음"))))</x:f>
      </x:c>
    </x:row>
    <x:row r="12" ht="23" customHeight="1">
      <x:c r="A12" s="24"/>
      <x:c r="B12" s="24"/>
      <x:c r="C12" s="26"/>
      <x:c r="D12" s="26"/>
      <x:c r="E12" s="26"/>
      <x:c r="F12" s="26"/>
      <x:c r="G12" s="26"/>
      <x:c r="H12" s="30" t="str">
        <x:f>IF(COUNT(D12:G12)=0,"",SUM(D12:G12))</x:f>
      </x:c>
      <x:c r="I12" s="30" t="str">
        <x:f>IF(C12="","",C12-SUM(D12:G12))</x:f>
      </x:c>
      <x:c r="J12" s="38" t="str">
        <x:f>IF(COUNTA(A12:G12)=0,"",IF(C12="","평가액 미입력",IF(I12&lt;0,"초과 배분",IF(I12=0,"배분 일치","미배분 있음"))))</x:f>
      </x:c>
    </x:row>
    <x:row r="13" ht="23" customHeight="1">
      <x:c r="A13" s="24"/>
      <x:c r="B13" s="24"/>
      <x:c r="C13" s="26"/>
      <x:c r="D13" s="26"/>
      <x:c r="E13" s="26"/>
      <x:c r="F13" s="26"/>
      <x:c r="G13" s="26"/>
      <x:c r="H13" s="30" t="str">
        <x:f>IF(COUNT(D13:G13)=0,"",SUM(D13:G13))</x:f>
      </x:c>
      <x:c r="I13" s="30" t="str">
        <x:f>IF(C13="","",C13-SUM(D13:G13))</x:f>
      </x:c>
      <x:c r="J13" s="38" t="str">
        <x:f>IF(COUNTA(A13:G13)=0,"",IF(C13="","평가액 미입력",IF(I13&lt;0,"초과 배분",IF(I13=0,"배분 일치","미배분 있음"))))</x:f>
      </x:c>
    </x:row>
    <x:row r="14" ht="23" customHeight="1">
      <x:c r="A14" s="24"/>
      <x:c r="B14" s="24"/>
      <x:c r="C14" s="26"/>
      <x:c r="D14" s="26"/>
      <x:c r="E14" s="26"/>
      <x:c r="F14" s="26"/>
      <x:c r="G14" s="26"/>
      <x:c r="H14" s="30" t="str">
        <x:f>IF(COUNT(D14:G14)=0,"",SUM(D14:G14))</x:f>
      </x:c>
      <x:c r="I14" s="30" t="str">
        <x:f>IF(C14="","",C14-SUM(D14:G14))</x:f>
      </x:c>
      <x:c r="J14" s="38" t="str">
        <x:f>IF(COUNTA(A14:G14)=0,"",IF(C14="","평가액 미입력",IF(I14&lt;0,"초과 배분",IF(I14=0,"배분 일치","미배분 있음"))))</x:f>
      </x:c>
    </x:row>
    <x:row r="15" ht="23" customHeight="1">
      <x:c r="A15" s="24"/>
      <x:c r="B15" s="24"/>
      <x:c r="C15" s="26"/>
      <x:c r="D15" s="26"/>
      <x:c r="E15" s="26"/>
      <x:c r="F15" s="26"/>
      <x:c r="G15" s="26"/>
      <x:c r="H15" s="30" t="str">
        <x:f>IF(COUNT(D15:G15)=0,"",SUM(D15:G15))</x:f>
      </x:c>
      <x:c r="I15" s="30" t="str">
        <x:f>IF(C15="","",C15-SUM(D15:G15))</x:f>
      </x:c>
      <x:c r="J15" s="38" t="str">
        <x:f>IF(COUNTA(A15:G15)=0,"",IF(C15="","평가액 미입력",IF(I15&lt;0,"초과 배분",IF(I15=0,"배분 일치","미배분 있음"))))</x:f>
      </x:c>
    </x:row>
    <x:row r="16" ht="23" customHeight="1">
      <x:c r="A16" s="24"/>
      <x:c r="B16" s="24"/>
      <x:c r="C16" s="26"/>
      <x:c r="D16" s="26"/>
      <x:c r="E16" s="26"/>
      <x:c r="F16" s="26"/>
      <x:c r="G16" s="26"/>
      <x:c r="H16" s="30" t="str">
        <x:f>IF(COUNT(D16:G16)=0,"",SUM(D16:G16))</x:f>
      </x:c>
      <x:c r="I16" s="30" t="str">
        <x:f>IF(C16="","",C16-SUM(D16:G16))</x:f>
      </x:c>
      <x:c r="J16" s="38" t="str">
        <x:f>IF(COUNTA(A16:G16)=0,"",IF(C16="","평가액 미입력",IF(I16&lt;0,"초과 배분",IF(I16=0,"배분 일치","미배분 있음"))))</x:f>
      </x:c>
    </x:row>
    <x:row r="17" ht="23" customHeight="1">
      <x:c r="A17" s="24"/>
      <x:c r="B17" s="24"/>
      <x:c r="C17" s="26"/>
      <x:c r="D17" s="26"/>
      <x:c r="E17" s="26"/>
      <x:c r="F17" s="26"/>
      <x:c r="G17" s="26"/>
      <x:c r="H17" s="30" t="str">
        <x:f>IF(COUNT(D17:G17)=0,"",SUM(D17:G17))</x:f>
      </x:c>
      <x:c r="I17" s="30" t="str">
        <x:f>IF(C17="","",C17-SUM(D17:G17))</x:f>
      </x:c>
      <x:c r="J17" s="38" t="str">
        <x:f>IF(COUNTA(A17:G17)=0,"",IF(C17="","평가액 미입력",IF(I17&lt;0,"초과 배분",IF(I17=0,"배분 일치","미배분 있음"))))</x:f>
      </x:c>
    </x:row>
    <x:row r="18" ht="23" customHeight="1">
      <x:c r="A18" s="24"/>
      <x:c r="B18" s="24"/>
      <x:c r="C18" s="26"/>
      <x:c r="D18" s="26"/>
      <x:c r="E18" s="26"/>
      <x:c r="F18" s="26"/>
      <x:c r="G18" s="26"/>
      <x:c r="H18" s="30" t="str">
        <x:f>IF(COUNT(D18:G18)=0,"",SUM(D18:G18))</x:f>
      </x:c>
      <x:c r="I18" s="30" t="str">
        <x:f>IF(C18="","",C18-SUM(D18:G18))</x:f>
      </x:c>
      <x:c r="J18" s="38" t="str">
        <x:f>IF(COUNTA(A18:G18)=0,"",IF(C18="","평가액 미입력",IF(I18&lt;0,"초과 배분",IF(I18=0,"배분 일치","미배분 있음"))))</x:f>
      </x:c>
    </x:row>
    <x:row r="19" ht="23" customHeight="1">
      <x:c r="A19" s="24"/>
      <x:c r="B19" s="24"/>
      <x:c r="C19" s="26"/>
      <x:c r="D19" s="26"/>
      <x:c r="E19" s="26"/>
      <x:c r="F19" s="26"/>
      <x:c r="G19" s="26"/>
      <x:c r="H19" s="30" t="str">
        <x:f>IF(COUNT(D19:G19)=0,"",SUM(D19:G19))</x:f>
      </x:c>
      <x:c r="I19" s="30" t="str">
        <x:f>IF(C19="","",C19-SUM(D19:G19))</x:f>
      </x:c>
      <x:c r="J19" s="38" t="str">
        <x:f>IF(COUNTA(A19:G19)=0,"",IF(C19="","평가액 미입력",IF(I19&lt;0,"초과 배분",IF(I19=0,"배분 일치","미배분 있음"))))</x:f>
      </x:c>
    </x:row>
    <x:row r="20" ht="23" customHeight="1">
      <x:c r="A20" s="24"/>
      <x:c r="B20" s="24"/>
      <x:c r="C20" s="26"/>
      <x:c r="D20" s="26"/>
      <x:c r="E20" s="26"/>
      <x:c r="F20" s="26"/>
      <x:c r="G20" s="26"/>
      <x:c r="H20" s="30" t="str">
        <x:f>IF(COUNT(D20:G20)=0,"",SUM(D20:G20))</x:f>
      </x:c>
      <x:c r="I20" s="30" t="str">
        <x:f>IF(C20="","",C20-SUM(D20:G20))</x:f>
      </x:c>
      <x:c r="J20" s="38" t="str">
        <x:f>IF(COUNTA(A20:G20)=0,"",IF(C20="","평가액 미입력",IF(I20&lt;0,"초과 배분",IF(I20=0,"배분 일치","미배분 있음"))))</x:f>
      </x:c>
    </x:row>
    <x:row r="21" ht="23" customHeight="1">
      <x:c r="A21" s="32" t="str">
        <x:v>금액 입력 합계</x:v>
      </x:c>
      <x:c r="B21" s="32"/>
      <x:c r="C21" s="33" t="str">
        <x:f>IF(COUNT(C9:C20)=0,"",SUM(C9:C20))</x:f>
      </x:c>
      <x:c r="D21" s="33" t="str">
        <x:f>IF(COUNT(D9:D20)=0,"",SUM(D9:D20))</x:f>
      </x:c>
      <x:c r="E21" s="33" t="str">
        <x:f>IF(COUNT(E9:E20)=0,"",SUM(E9:E20))</x:f>
      </x:c>
      <x:c r="F21" s="33" t="str">
        <x:f>IF(COUNT(F9:F20)=0,"",SUM(F9:F20))</x:f>
      </x:c>
      <x:c r="G21" s="33" t="str">
        <x:f>IF(COUNT(G9:G20)=0,"",SUM(G9:G20))</x:f>
      </x:c>
      <x:c r="H21" s="33" t="str">
        <x:f>IF(COUNT(H9:H20)=0,"",SUM(H9:H20))</x:f>
      </x:c>
      <x:c r="I21" s="33" t="str">
        <x:f>IF(COUNT(I9:I20)=0,"",SUM(I9:I20))</x:f>
      </x:c>
      <x:c r="J21" s="39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23" customHeight="1">
      <x:c r="A23" s="14" t="str">
        <x:v>채무 총액 · 입력하지 않은 칸은 미확인으로 남습니다. 채무가 없다고 확인한 경우에만 0 입력</x:v>
      </x:c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23" customHeight="1">
      <x:c r="A25" s="6" t="str">
        <x:v>대출 총액</x:v>
      </x:c>
      <x:c r="B25" s="6"/>
      <x:c r="C25" s="26"/>
      <x:c r="D25" s="42" t="str">
        <x:v>세금·장례비·분배 정산금은 여기의 채무총액에 자동 포함하지 않습니다. 가족회의용 단순 순재산과 세법상 채무 공제는 다릅니다.</x:v>
      </x:c>
      <x:c r="E25" s="42"/>
      <x:c r="F25" s="42"/>
      <x:c r="G25" s="42"/>
      <x:c r="H25" s="42"/>
      <x:c r="I25" s="42"/>
      <x:c r="J25" s="42"/>
    </x:row>
    <x:row r="26" ht="23" customHeight="1">
      <x:c r="A26" s="6" t="str">
        <x:v>보증금 반환채무</x:v>
      </x:c>
      <x:c r="B26" s="6"/>
      <x:c r="C26" s="26"/>
      <x:c r="D26" s="42"/>
      <x:c r="E26" s="42"/>
      <x:c r="F26" s="42"/>
      <x:c r="G26" s="42"/>
      <x:c r="H26" s="42"/>
      <x:c r="I26" s="42"/>
      <x:c r="J26" s="42"/>
    </x:row>
    <x:row r="27" ht="23" customHeight="1">
      <x:c r="A27" s="6" t="str">
        <x:v>기타 채무 총액</x:v>
      </x:c>
      <x:c r="B27" s="6"/>
      <x:c r="C27" s="26"/>
      <x:c r="D27" s="42"/>
      <x:c r="E27" s="42"/>
      <x:c r="F27" s="42"/>
      <x:c r="G27" s="42"/>
      <x:c r="H27" s="42"/>
      <x:c r="I27" s="42"/>
      <x:c r="J27" s="42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ht="23" customHeight="1">
      <x:c r="A29" s="6" t="str">
        <x:v>단순 순재산 (원)</x:v>
      </x:c>
      <x:c r="B29" s="6"/>
      <x:c r="C29" s="30" t="str">
        <x:f>IF(OR(COUNT(C25:C27)&lt;3,COUNT(C9:C20)=0,COUNTIF(J9:J20,"평가액 미입력")&gt;0),"",C21-SUM(C25:C27))</x:f>
      </x:c>
      <x:c r="D29" s="42" t="str">
        <x:v>계산 방식: 금액이 확인된 재산 총액 - 별도 채무 총액. 평가액/채무 미입력이 있으면 표시하지 않습니다. 세액 계산 결과가 아닙니다.</x:v>
      </x:c>
      <x:c r="E29" s="42"/>
      <x:c r="F29" s="42"/>
      <x:c r="G29" s="42"/>
      <x:c r="H29" s="42"/>
      <x:c r="I29" s="42"/>
      <x:c r="J29" s="42"/>
    </x:row>
    <x:row r="30" ht="23" customHeight="1">
      <x:c r="A30" s="6"/>
      <x:c r="B30" s="6"/>
      <x:c r="C30" s="6"/>
      <x:c r="D30" s="42"/>
      <x:c r="E30" s="42"/>
      <x:c r="F30" s="42"/>
      <x:c r="G30" s="42"/>
      <x:c r="H30" s="42"/>
      <x:c r="I30" s="42"/>
      <x:c r="J30" s="42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23" customHeight="1">
      <x:c r="A33" s="6" t="str">
        <x:v>작성 상태: 가족회의 초안. 양식 작성은 상속포기·협의 성립·신고 완료·명의이전 완료를 의미하지 않습니다.</x:v>
      </x:c>
      <x:c r="B33" s="6"/>
      <x:c r="C33" s="6"/>
      <x:c r="D33" s="6"/>
      <x:c r="E33" s="6"/>
      <x:c r="F33" s="6"/>
      <x:c r="G33" s="6"/>
      <x:c r="H33" s="6"/>
      <x:c r="I33" s="6"/>
      <x:c r="J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 ht="23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</x:sheetData>
  <x:mergeCells>
    <x:mergeCell ref="A1:J2"/>
    <x:mergeCell ref="A3:J3"/>
    <x:mergeCell ref="A5:B5"/>
    <x:mergeCell ref="C5:E5"/>
    <x:mergeCell ref="F5:G5"/>
    <x:mergeCell ref="H5:J5"/>
    <x:mergeCell ref="A6:J6"/>
    <x:mergeCell ref="A23:J23"/>
    <x:mergeCell ref="A25:B25"/>
    <x:mergeCell ref="A26:B26"/>
    <x:mergeCell ref="A27:B27"/>
    <x:mergeCell ref="D25:J27"/>
    <x:mergeCell ref="A29:B29"/>
    <x:mergeCell ref="D29:J30"/>
    <x:mergeCell ref="A33:J34"/>
  </x:mergeCells>
  <x:conditionalFormatting sqref="I9:I2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21" hidden="0" customWidth="1"/>
  </x:cols>
  <x:sheetData>
    <x:row r="1" ht="24" customHeight="1">
      <x:c r="A1" s="9" t="str">
        <x:v>가족별 재산배분 계획표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12" t="str">
        <x:v>작성 예시 · 가상 사례 · 법정상속분·절세안 아님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3" customHeight="1">
      <x:c r="A5" s="6" t="str">
        <x:v>소유자/피상속인</x:v>
      </x:c>
      <x:c r="B5" s="6"/>
      <x:c r="C5" s="6" t="str">
        <x:v>김하늘 (가상)</x:v>
      </x:c>
      <x:c r="D5" s="6"/>
      <x:c r="E5" s="6"/>
      <x:c r="F5" s="6" t="str">
        <x:v>평가 기준일</x:v>
      </x:c>
      <x:c r="G5" s="6"/>
      <x:c r="H5" s="6" t="str">
        <x:v>2026-08-01</x:v>
      </x:c>
      <x:c r="I5" s="6"/>
      <x:c r="J5" s="6"/>
    </x:row>
    <x:row r="6" ht="23" customHeight="1">
      <x:c r="A6" s="6" t="str">
        <x:v>재산별 취득 범위를 적은 협의서와 대조하세요. 공동명의 재산은 대상자의 지분가액만 입력합니다.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34" customHeight="1">
      <x:c r="A8" s="19" t="str">
        <x:v>재산</x:v>
      </x:c>
      <x:c r="B8" s="19" t="str">
        <x:v>표시·수량(간략)</x:v>
      </x:c>
      <x:c r="C8" s="19" t="str">
        <x:v>검토가액 (원)</x:v>
      </x:c>
      <x:c r="D8" s="19" t="str">
        <x:v>배우자 배분액</x:v>
      </x:c>
      <x:c r="E8" s="19" t="str">
        <x:v>자녀 A 배분액</x:v>
      </x:c>
      <x:c r="F8" s="19" t="str">
        <x:v>자녀 B 배분액</x:v>
      </x:c>
      <x:c r="G8" s="19" t="str">
        <x:v>기타 배분액</x:v>
      </x:c>
      <x:c r="H8" s="19" t="str">
        <x:v>배분액 합계</x:v>
      </x:c>
      <x:c r="I8" s="19" t="str">
        <x:v>미배분액</x:v>
      </x:c>
      <x:c r="J8" s="19" t="str">
        <x:v>검사</x:v>
      </x:c>
    </x:row>
    <x:row r="9" ht="42" customHeight="1">
      <x:c r="A9" s="24" t="str">
        <x:v>아파트</x:v>
      </x:c>
      <x:c r="B9" s="24" t="str">
        <x:v>가상 샘플아파트 101동 501호</x:v>
      </x:c>
      <x:c r="C9" s="26" t="n">
        <x:v>2000000000</x:v>
      </x:c>
      <x:c r="D9" s="26" t="n">
        <x:v>2000000000</x:v>
      </x:c>
      <x:c r="E9" s="26" t="n">
        <x:v>0</x:v>
      </x:c>
      <x:c r="F9" s="26" t="n">
        <x:v>0</x:v>
      </x:c>
      <x:c r="G9" s="26" t="n">
        <x:v>0</x:v>
      </x:c>
      <x:c r="H9" s="30" t="n">
        <x:f>IF(COUNT(D9:G9)=0,"",SUM(D9:G9))</x:f>
        <x:v>2000000000</x:v>
      </x:c>
      <x:c r="I9" s="30" t="n">
        <x:f>IF(C9="","",C9-SUM(D9:G9))</x:f>
        <x:v>0</x:v>
      </x:c>
      <x:c r="J9" s="38" t="str">
        <x:f>IF(COUNTA(A9:G9)=0,"",IF(C9="","평가액 미입력",IF(I9&lt;0,"초과 배분",IF(I9=0,"배분 일치","미배분 있음"))))</x:f>
        <x:v>배분 일치</x:v>
      </x:c>
    </x:row>
    <x:row r="10" ht="42" customHeight="1">
      <x:c r="A10" s="24" t="str">
        <x:v>예금</x:v>
      </x:c>
      <x:c r="B10" s="24" t="str">
        <x:v>가상 예금 6억원</x:v>
      </x:c>
      <x:c r="C10" s="26" t="n">
        <x:v>600000000</x:v>
      </x:c>
      <x:c r="D10" s="26" t="n">
        <x:v>0</x:v>
      </x:c>
      <x:c r="E10" s="26" t="n">
        <x:v>300000000</x:v>
      </x:c>
      <x:c r="F10" s="26" t="n">
        <x:v>300000000</x:v>
      </x:c>
      <x:c r="G10" s="26" t="n">
        <x:v>0</x:v>
      </x:c>
      <x:c r="H10" s="30" t="n">
        <x:f>IF(COUNT(D10:G10)=0,"",SUM(D10:G10))</x:f>
        <x:v>600000000</x:v>
      </x:c>
      <x:c r="I10" s="30" t="n">
        <x:f>IF(C10="","",C10-SUM(D10:G10))</x:f>
        <x:v>0</x:v>
      </x:c>
      <x:c r="J10" s="38" t="str">
        <x:f>IF(COUNTA(A10:G10)=0,"",IF(C10="","평가액 미입력",IF(I10&lt;0,"초과 배분",IF(I10=0,"배분 일치","미배분 있음"))))</x:f>
        <x:v>배분 일치</x:v>
      </x:c>
    </x:row>
    <x:row r="11" ht="42" customHeight="1">
      <x:c r="A11" s="24" t="str">
        <x:v>주식</x:v>
      </x:c>
      <x:c r="B11" s="24" t="str">
        <x:v>가상 보통주 1,000주 / 각 자녀 500주</x:v>
      </x:c>
      <x:c r="C11" s="26" t="n">
        <x:v>400000000</x:v>
      </x:c>
      <x:c r="D11" s="26" t="n">
        <x:v>0</x:v>
      </x:c>
      <x:c r="E11" s="26" t="n">
        <x:v>200000000</x:v>
      </x:c>
      <x:c r="F11" s="26" t="n">
        <x:v>200000000</x:v>
      </x:c>
      <x:c r="G11" s="26" t="n">
        <x:v>0</x:v>
      </x:c>
      <x:c r="H11" s="30" t="n">
        <x:f>IF(COUNT(D11:G11)=0,"",SUM(D11:G11))</x:f>
        <x:v>400000000</x:v>
      </x:c>
      <x:c r="I11" s="30" t="n">
        <x:f>IF(C11="","",C11-SUM(D11:G11))</x:f>
        <x:v>0</x:v>
      </x:c>
      <x:c r="J11" s="38" t="str">
        <x:f>IF(COUNTA(A11:G11)=0,"",IF(C11="","평가액 미입력",IF(I11&lt;0,"초과 배분",IF(I11=0,"배분 일치","미배분 있음"))))</x:f>
        <x:v>배분 일치</x:v>
      </x:c>
    </x:row>
    <x:row r="12" ht="23" customHeight="1">
      <x:c r="A12" s="24"/>
      <x:c r="B12" s="24"/>
      <x:c r="C12" s="26"/>
      <x:c r="D12" s="26"/>
      <x:c r="E12" s="26"/>
      <x:c r="F12" s="26"/>
      <x:c r="G12" s="26"/>
      <x:c r="H12" s="30" t="str">
        <x:f>IF(COUNT(D12:G12)=0,"",SUM(D12:G12))</x:f>
      </x:c>
      <x:c r="I12" s="30" t="str">
        <x:f>IF(C12="","",C12-SUM(D12:G12))</x:f>
      </x:c>
      <x:c r="J12" s="38" t="str">
        <x:f>IF(COUNTA(A12:G12)=0,"",IF(C12="","평가액 미입력",IF(I12&lt;0,"초과 배분",IF(I12=0,"배분 일치","미배분 있음"))))</x:f>
      </x:c>
    </x:row>
    <x:row r="13" ht="23" customHeight="1">
      <x:c r="A13" s="24"/>
      <x:c r="B13" s="24"/>
      <x:c r="C13" s="26"/>
      <x:c r="D13" s="26"/>
      <x:c r="E13" s="26"/>
      <x:c r="F13" s="26"/>
      <x:c r="G13" s="26"/>
      <x:c r="H13" s="30" t="str">
        <x:f>IF(COUNT(D13:G13)=0,"",SUM(D13:G13))</x:f>
      </x:c>
      <x:c r="I13" s="30" t="str">
        <x:f>IF(C13="","",C13-SUM(D13:G13))</x:f>
      </x:c>
      <x:c r="J13" s="38" t="str">
        <x:f>IF(COUNTA(A13:G13)=0,"",IF(C13="","평가액 미입력",IF(I13&lt;0,"초과 배분",IF(I13=0,"배분 일치","미배분 있음"))))</x:f>
      </x:c>
    </x:row>
    <x:row r="14" ht="23" customHeight="1">
      <x:c r="A14" s="24"/>
      <x:c r="B14" s="24"/>
      <x:c r="C14" s="26"/>
      <x:c r="D14" s="26"/>
      <x:c r="E14" s="26"/>
      <x:c r="F14" s="26"/>
      <x:c r="G14" s="26"/>
      <x:c r="H14" s="30" t="str">
        <x:f>IF(COUNT(D14:G14)=0,"",SUM(D14:G14))</x:f>
      </x:c>
      <x:c r="I14" s="30" t="str">
        <x:f>IF(C14="","",C14-SUM(D14:G14))</x:f>
      </x:c>
      <x:c r="J14" s="38" t="str">
        <x:f>IF(COUNTA(A14:G14)=0,"",IF(C14="","평가액 미입력",IF(I14&lt;0,"초과 배분",IF(I14=0,"배분 일치","미배분 있음"))))</x:f>
      </x:c>
    </x:row>
    <x:row r="15" ht="23" customHeight="1">
      <x:c r="A15" s="24"/>
      <x:c r="B15" s="24"/>
      <x:c r="C15" s="26"/>
      <x:c r="D15" s="26"/>
      <x:c r="E15" s="26"/>
      <x:c r="F15" s="26"/>
      <x:c r="G15" s="26"/>
      <x:c r="H15" s="30" t="str">
        <x:f>IF(COUNT(D15:G15)=0,"",SUM(D15:G15))</x:f>
      </x:c>
      <x:c r="I15" s="30" t="str">
        <x:f>IF(C15="","",C15-SUM(D15:G15))</x:f>
      </x:c>
      <x:c r="J15" s="38" t="str">
        <x:f>IF(COUNTA(A15:G15)=0,"",IF(C15="","평가액 미입력",IF(I15&lt;0,"초과 배분",IF(I15=0,"배분 일치","미배분 있음"))))</x:f>
      </x:c>
    </x:row>
    <x:row r="16" ht="23" customHeight="1">
      <x:c r="A16" s="24"/>
      <x:c r="B16" s="24"/>
      <x:c r="C16" s="26"/>
      <x:c r="D16" s="26"/>
      <x:c r="E16" s="26"/>
      <x:c r="F16" s="26"/>
      <x:c r="G16" s="26"/>
      <x:c r="H16" s="30" t="str">
        <x:f>IF(COUNT(D16:G16)=0,"",SUM(D16:G16))</x:f>
      </x:c>
      <x:c r="I16" s="30" t="str">
        <x:f>IF(C16="","",C16-SUM(D16:G16))</x:f>
      </x:c>
      <x:c r="J16" s="38" t="str">
        <x:f>IF(COUNTA(A16:G16)=0,"",IF(C16="","평가액 미입력",IF(I16&lt;0,"초과 배분",IF(I16=0,"배분 일치","미배분 있음"))))</x:f>
      </x:c>
    </x:row>
    <x:row r="17" ht="23" customHeight="1">
      <x:c r="A17" s="24"/>
      <x:c r="B17" s="24"/>
      <x:c r="C17" s="26"/>
      <x:c r="D17" s="26"/>
      <x:c r="E17" s="26"/>
      <x:c r="F17" s="26"/>
      <x:c r="G17" s="26"/>
      <x:c r="H17" s="30" t="str">
        <x:f>IF(COUNT(D17:G17)=0,"",SUM(D17:G17))</x:f>
      </x:c>
      <x:c r="I17" s="30" t="str">
        <x:f>IF(C17="","",C17-SUM(D17:G17))</x:f>
      </x:c>
      <x:c r="J17" s="38" t="str">
        <x:f>IF(COUNTA(A17:G17)=0,"",IF(C17="","평가액 미입력",IF(I17&lt;0,"초과 배분",IF(I17=0,"배분 일치","미배분 있음"))))</x:f>
      </x:c>
    </x:row>
    <x:row r="18" ht="23" customHeight="1">
      <x:c r="A18" s="24"/>
      <x:c r="B18" s="24"/>
      <x:c r="C18" s="26"/>
      <x:c r="D18" s="26"/>
      <x:c r="E18" s="26"/>
      <x:c r="F18" s="26"/>
      <x:c r="G18" s="26"/>
      <x:c r="H18" s="30" t="str">
        <x:f>IF(COUNT(D18:G18)=0,"",SUM(D18:G18))</x:f>
      </x:c>
      <x:c r="I18" s="30" t="str">
        <x:f>IF(C18="","",C18-SUM(D18:G18))</x:f>
      </x:c>
      <x:c r="J18" s="38" t="str">
        <x:f>IF(COUNTA(A18:G18)=0,"",IF(C18="","평가액 미입력",IF(I18&lt;0,"초과 배분",IF(I18=0,"배분 일치","미배분 있음"))))</x:f>
      </x:c>
    </x:row>
    <x:row r="19" ht="23" customHeight="1">
      <x:c r="A19" s="24"/>
      <x:c r="B19" s="24"/>
      <x:c r="C19" s="26"/>
      <x:c r="D19" s="26"/>
      <x:c r="E19" s="26"/>
      <x:c r="F19" s="26"/>
      <x:c r="G19" s="26"/>
      <x:c r="H19" s="30" t="str">
        <x:f>IF(COUNT(D19:G19)=0,"",SUM(D19:G19))</x:f>
      </x:c>
      <x:c r="I19" s="30" t="str">
        <x:f>IF(C19="","",C19-SUM(D19:G19))</x:f>
      </x:c>
      <x:c r="J19" s="38" t="str">
        <x:f>IF(COUNTA(A19:G19)=0,"",IF(C19="","평가액 미입력",IF(I19&lt;0,"초과 배분",IF(I19=0,"배분 일치","미배분 있음"))))</x:f>
      </x:c>
    </x:row>
    <x:row r="20" ht="23" customHeight="1">
      <x:c r="A20" s="24"/>
      <x:c r="B20" s="24"/>
      <x:c r="C20" s="26"/>
      <x:c r="D20" s="26"/>
      <x:c r="E20" s="26"/>
      <x:c r="F20" s="26"/>
      <x:c r="G20" s="26"/>
      <x:c r="H20" s="30" t="str">
        <x:f>IF(COUNT(D20:G20)=0,"",SUM(D20:G20))</x:f>
      </x:c>
      <x:c r="I20" s="30" t="str">
        <x:f>IF(C20="","",C20-SUM(D20:G20))</x:f>
      </x:c>
      <x:c r="J20" s="38" t="str">
        <x:f>IF(COUNTA(A20:G20)=0,"",IF(C20="","평가액 미입력",IF(I20&lt;0,"초과 배분",IF(I20=0,"배분 일치","미배분 있음"))))</x:f>
      </x:c>
    </x:row>
    <x:row r="21" ht="23" customHeight="1">
      <x:c r="A21" s="32" t="str">
        <x:v>금액 입력 합계</x:v>
      </x:c>
      <x:c r="B21" s="32"/>
      <x:c r="C21" s="33" t="n">
        <x:f>IF(COUNT(C9:C20)=0,"",SUM(C9:C20))</x:f>
        <x:v>3000000000</x:v>
      </x:c>
      <x:c r="D21" s="33" t="n">
        <x:f>IF(COUNT(D9:D20)=0,"",SUM(D9:D20))</x:f>
        <x:v>2000000000</x:v>
      </x:c>
      <x:c r="E21" s="33" t="n">
        <x:f>IF(COUNT(E9:E20)=0,"",SUM(E9:E20))</x:f>
        <x:v>500000000</x:v>
      </x:c>
      <x:c r="F21" s="33" t="n">
        <x:f>IF(COUNT(F9:F20)=0,"",SUM(F9:F20))</x:f>
        <x:v>500000000</x:v>
      </x:c>
      <x:c r="G21" s="33" t="n">
        <x:f>IF(COUNT(G9:G20)=0,"",SUM(G9:G20))</x:f>
        <x:v>0</x:v>
      </x:c>
      <x:c r="H21" s="33" t="n">
        <x:f>IF(COUNT(H9:H20)=0,"",SUM(H9:H20))</x:f>
        <x:v>3000000000</x:v>
      </x:c>
      <x:c r="I21" s="33" t="n">
        <x:f>IF(COUNT(I9:I20)=0,"",SUM(I9:I20))</x:f>
        <x:v>0</x:v>
      </x:c>
      <x:c r="J21" s="39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23" customHeight="1">
      <x:c r="A23" s="14" t="str">
        <x:v>채무 총액 · 입력하지 않은 칸은 미확인으로 남습니다. 채무가 없다고 확인한 경우에만 0 입력</x:v>
      </x:c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23" customHeight="1">
      <x:c r="A25" s="6" t="str">
        <x:v>대출 총액</x:v>
      </x:c>
      <x:c r="B25" s="6"/>
      <x:c r="C25" s="26" t="n">
        <x:v>0</x:v>
      </x:c>
      <x:c r="D25" s="42" t="str">
        <x:v>세금·장례비·분배 정산금은 여기의 채무총액에 자동 포함하지 않습니다. 가족회의용 단순 순재산과 세법상 채무 공제는 다릅니다.</x:v>
      </x:c>
      <x:c r="E25" s="42"/>
      <x:c r="F25" s="42"/>
      <x:c r="G25" s="42"/>
      <x:c r="H25" s="42"/>
      <x:c r="I25" s="42"/>
      <x:c r="J25" s="42"/>
    </x:row>
    <x:row r="26" ht="23" customHeight="1">
      <x:c r="A26" s="6" t="str">
        <x:v>보증금 반환채무</x:v>
      </x:c>
      <x:c r="B26" s="6"/>
      <x:c r="C26" s="26" t="n">
        <x:v>0</x:v>
      </x:c>
      <x:c r="D26" s="42"/>
      <x:c r="E26" s="42"/>
      <x:c r="F26" s="42"/>
      <x:c r="G26" s="42"/>
      <x:c r="H26" s="42"/>
      <x:c r="I26" s="42"/>
      <x:c r="J26" s="42"/>
    </x:row>
    <x:row r="27" ht="23" customHeight="1">
      <x:c r="A27" s="6" t="str">
        <x:v>기타 채무 총액</x:v>
      </x:c>
      <x:c r="B27" s="6"/>
      <x:c r="C27" s="26" t="n">
        <x:v>0</x:v>
      </x:c>
      <x:c r="D27" s="42"/>
      <x:c r="E27" s="42"/>
      <x:c r="F27" s="42"/>
      <x:c r="G27" s="42"/>
      <x:c r="H27" s="42"/>
      <x:c r="I27" s="42"/>
      <x:c r="J27" s="42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ht="23" customHeight="1">
      <x:c r="A29" s="6" t="str">
        <x:v>단순 순재산 (원)</x:v>
      </x:c>
      <x:c r="B29" s="6"/>
      <x:c r="C29" s="30" t="n">
        <x:f>IF(OR(COUNT(C25:C27)&lt;3,COUNT(C9:C20)=0,COUNTIF(J9:J20,"평가액 미입력")&gt;0),"",C21-SUM(C25:C27))</x:f>
        <x:v>3000000000</x:v>
      </x:c>
      <x:c r="D29" s="42" t="str">
        <x:v>계산 방식: 금액이 확인된 재산 총액 - 별도 채무 총액. 평가액/채무 미입력이 있으면 표시하지 않습니다. 세액 계산 결과가 아닙니다.</x:v>
      </x:c>
      <x:c r="E29" s="42"/>
      <x:c r="F29" s="42"/>
      <x:c r="G29" s="42"/>
      <x:c r="H29" s="42"/>
      <x:c r="I29" s="42"/>
      <x:c r="J29" s="42"/>
    </x:row>
    <x:row r="30" ht="23" customHeight="1">
      <x:c r="A30" s="6"/>
      <x:c r="B30" s="6"/>
      <x:c r="C30" s="6"/>
      <x:c r="D30" s="42"/>
      <x:c r="E30" s="42"/>
      <x:c r="F30" s="42"/>
      <x:c r="G30" s="42"/>
      <x:c r="H30" s="42"/>
      <x:c r="I30" s="42"/>
      <x:c r="J30" s="42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23" customHeight="1">
      <x:c r="A33" s="6" t="str">
        <x:v>작성 상태: 가족회의 초안. 양식 작성은 상속포기·협의 성립·신고 완료·명의이전 완료를 의미하지 않습니다.</x:v>
      </x:c>
      <x:c r="B33" s="6"/>
      <x:c r="C33" s="6"/>
      <x:c r="D33" s="6"/>
      <x:c r="E33" s="6"/>
      <x:c r="F33" s="6"/>
      <x:c r="G33" s="6"/>
      <x:c r="H33" s="6"/>
      <x:c r="I33" s="6"/>
      <x:c r="J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 ht="23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</x:sheetData>
  <x:mergeCells>
    <x:mergeCell ref="A1:J2"/>
    <x:mergeCell ref="A3:J3"/>
    <x:mergeCell ref="A5:B5"/>
    <x:mergeCell ref="C5:E5"/>
    <x:mergeCell ref="F5:G5"/>
    <x:mergeCell ref="H5:J5"/>
    <x:mergeCell ref="A6:J6"/>
    <x:mergeCell ref="A23:J23"/>
    <x:mergeCell ref="A25:B25"/>
    <x:mergeCell ref="A26:B26"/>
    <x:mergeCell ref="A27:B27"/>
    <x:mergeCell ref="D25:J27"/>
    <x:mergeCell ref="A29:B29"/>
    <x:mergeCell ref="D29:J30"/>
    <x:mergeCell ref="A33:J34"/>
  </x:mergeCells>
  <x:conditionalFormatting sqref="I9:I20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5" hidden="0" customWidth="1"/>
  </x:cols>
  <x:sheetData>
    <x:row r="1" ht="24" customHeight="1">
      <x:c r="A1" s="9" t="str">
        <x:v>분배 차액 정산금 지급계획표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합의 전 계획표 · 실제 지급의무는 별도 합의 문서로 확정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/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3" customHeight="1">
      <x:c r="A7" s="6"/>
      <x:c r="B7" s="6"/>
      <x:c r="C7" s="6"/>
      <x:c r="D7" s="6"/>
      <x:c r="E7" s="6"/>
      <x:c r="F7" s="6"/>
      <x:c r="G7" s="6"/>
      <x:c r="H7" s="6"/>
    </x:row>
    <x:row r="8" ht="34" customHeight="1">
      <x:c r="A8" s="19" t="str">
        <x:v>지급자</x:v>
      </x:c>
      <x:c r="B8" s="19" t="str">
        <x:v>수령자</x:v>
      </x:c>
      <x:c r="C8" s="19" t="str">
        <x:v>계획금액 (원)</x:v>
      </x:c>
      <x:c r="D8" s="19" t="str">
        <x:v>지급 예정일</x:v>
      </x:c>
      <x:c r="E8" s="19" t="str">
        <x:v>지급재원</x:v>
      </x:c>
      <x:c r="F8" s="19" t="str">
        <x:v>실제지급 (원)</x:v>
      </x:c>
      <x:c r="G8" s="19" t="str">
        <x:v>실제지급일</x:v>
      </x:c>
      <x:c r="H8" s="19" t="str">
        <x:v>합의·증빙/비고</x:v>
      </x:c>
    </x:row>
    <x:row r="9" ht="23" customHeight="1">
      <x:c r="A9" s="24"/>
      <x:c r="B9" s="24"/>
      <x:c r="C9" s="26"/>
      <x:c r="D9" s="44"/>
      <x:c r="E9" s="24"/>
      <x:c r="F9" s="26"/>
      <x:c r="G9" s="44"/>
      <x:c r="H9" s="24"/>
    </x:row>
    <x:row r="10" ht="23" customHeight="1">
      <x:c r="A10" s="24"/>
      <x:c r="B10" s="24"/>
      <x:c r="C10" s="26"/>
      <x:c r="D10" s="44"/>
      <x:c r="E10" s="24"/>
      <x:c r="F10" s="26"/>
      <x:c r="G10" s="44"/>
      <x:c r="H10" s="24"/>
    </x:row>
    <x:row r="11" ht="23" customHeight="1">
      <x:c r="A11" s="24"/>
      <x:c r="B11" s="24"/>
      <x:c r="C11" s="26"/>
      <x:c r="D11" s="44"/>
      <x:c r="E11" s="24"/>
      <x:c r="F11" s="26"/>
      <x:c r="G11" s="44"/>
      <x:c r="H11" s="24"/>
    </x:row>
    <x:row r="12" ht="23" customHeight="1">
      <x:c r="A12" s="24"/>
      <x:c r="B12" s="24"/>
      <x:c r="C12" s="26"/>
      <x:c r="D12" s="44"/>
      <x:c r="E12" s="24"/>
      <x:c r="F12" s="26"/>
      <x:c r="G12" s="44"/>
      <x:c r="H12" s="24"/>
    </x:row>
    <x:row r="13" ht="23" customHeight="1">
      <x:c r="A13" s="24"/>
      <x:c r="B13" s="24"/>
      <x:c r="C13" s="26"/>
      <x:c r="D13" s="44"/>
      <x:c r="E13" s="24"/>
      <x:c r="F13" s="26"/>
      <x:c r="G13" s="44"/>
      <x:c r="H13" s="24"/>
    </x:row>
    <x:row r="14" ht="23" customHeight="1">
      <x:c r="A14" s="24"/>
      <x:c r="B14" s="24"/>
      <x:c r="C14" s="26"/>
      <x:c r="D14" s="44"/>
      <x:c r="E14" s="24"/>
      <x:c r="F14" s="26"/>
      <x:c r="G14" s="44"/>
      <x:c r="H14" s="24"/>
    </x:row>
    <x:row r="15" ht="23" customHeight="1">
      <x:c r="A15" s="24"/>
      <x:c r="B15" s="24"/>
      <x:c r="C15" s="26"/>
      <x:c r="D15" s="44"/>
      <x:c r="E15" s="24"/>
      <x:c r="F15" s="26"/>
      <x:c r="G15" s="44"/>
      <x:c r="H15" s="24"/>
    </x:row>
    <x:row r="16" ht="23" customHeight="1">
      <x:c r="A16" s="24"/>
      <x:c r="B16" s="24"/>
      <x:c r="C16" s="26"/>
      <x:c r="D16" s="44"/>
      <x:c r="E16" s="24"/>
      <x:c r="F16" s="26"/>
      <x:c r="G16" s="44"/>
      <x:c r="H16" s="24"/>
    </x:row>
    <x:row r="17" ht="23" customHeight="1">
      <x:c r="A17" s="24"/>
      <x:c r="B17" s="24"/>
      <x:c r="C17" s="26"/>
      <x:c r="D17" s="44"/>
      <x:c r="E17" s="24"/>
      <x:c r="F17" s="26"/>
      <x:c r="G17" s="44"/>
      <x:c r="H17" s="24"/>
    </x:row>
    <x:row r="18" ht="23" customHeight="1">
      <x:c r="A18" s="24"/>
      <x:c r="B18" s="24"/>
      <x:c r="C18" s="26"/>
      <x:c r="D18" s="44"/>
      <x:c r="E18" s="24"/>
      <x:c r="F18" s="26"/>
      <x:c r="G18" s="44"/>
      <x:c r="H18" s="24"/>
    </x:row>
    <x:row r="19" ht="23" customHeight="1">
      <x:c r="A19" s="6"/>
      <x:c r="B19" s="6"/>
      <x:c r="C19" s="6"/>
      <x:c r="D19" s="6"/>
      <x:c r="E19" s="6"/>
      <x:c r="F19" s="6"/>
      <x:c r="G19" s="6"/>
      <x:c r="H19" s="6"/>
    </x:row>
    <x:row r="20" ht="23" customHeight="1">
      <x:c r="A20" s="6" t="str">
        <x:v>계획금액 합계</x:v>
      </x:c>
      <x:c r="B20" s="6"/>
      <x:c r="C20" s="30" t="str">
        <x:f>IF(COUNT(C9:C18)=0,"",SUM(C9:C18))</x:f>
      </x:c>
      <x:c r="D20" s="6"/>
      <x:c r="E20" s="6" t="str">
        <x:v>실제지급 합계</x:v>
      </x:c>
      <x:c r="F20" s="30" t="str">
        <x:f>IF(COUNT(F9:F18)=0,"",SUM(F9:F18))</x:f>
      </x:c>
      <x:c r="G20" s="6"/>
      <x:c r="H20" s="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</x:row>
    <x:row r="23" ht="23" customHeight="1">
      <x:c r="A23" s="6" t="str">
        <x:v>실제 지급액을 비워두면 지급 여부 미확인입니다. 계획금액을 실제 지급액으로 자동 복사하지 않습니다. 정산 약정·채무 인수·세금 부담은 합의 및 제3자에 대한 효력을 별도로 검토합니다.</x:v>
      </x:c>
      <x:c r="B23" s="6"/>
      <x:c r="C23" s="6"/>
      <x:c r="D23" s="6"/>
      <x:c r="E23" s="6"/>
      <x:c r="F23" s="6"/>
      <x:c r="G23" s="6"/>
      <x:c r="H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</x:sheetData>
  <x:mergeCells>
    <x:mergeCell ref="A1:H2"/>
    <x:mergeCell ref="A3:H3"/>
    <x:mergeCell ref="A23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5" hidden="0" customWidth="1"/>
  </x:cols>
  <x:sheetData>
    <x:row r="1" ht="24" customHeight="1">
      <x:c r="A1" s="9" t="str">
        <x:v>분배 차액 정산금 지급계획표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별도 대안 B · 가상 예시 · 무정산 협의서 예시와 혼합 금지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/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3" customHeight="1">
      <x:c r="A7" s="6"/>
      <x:c r="B7" s="6"/>
      <x:c r="C7" s="6"/>
      <x:c r="D7" s="6"/>
      <x:c r="E7" s="6"/>
      <x:c r="F7" s="6"/>
      <x:c r="G7" s="6"/>
      <x:c r="H7" s="6"/>
    </x:row>
    <x:row r="8" ht="34" customHeight="1">
      <x:c r="A8" s="19" t="str">
        <x:v>지급자</x:v>
      </x:c>
      <x:c r="B8" s="19" t="str">
        <x:v>수령자</x:v>
      </x:c>
      <x:c r="C8" s="19" t="str">
        <x:v>계획금액 (원)</x:v>
      </x:c>
      <x:c r="D8" s="19" t="str">
        <x:v>지급 예정일</x:v>
      </x:c>
      <x:c r="E8" s="19" t="str">
        <x:v>지급재원</x:v>
      </x:c>
      <x:c r="F8" s="19" t="str">
        <x:v>실제지급 (원)</x:v>
      </x:c>
      <x:c r="G8" s="19" t="str">
        <x:v>실제지급일</x:v>
      </x:c>
      <x:c r="H8" s="19" t="str">
        <x:v>합의·증빙/비고</x:v>
      </x:c>
    </x:row>
    <x:row r="9" ht="45" customHeight="1">
      <x:c r="A9" s="24" t="str">
        <x:v>이다온 (가상)</x:v>
      </x:c>
      <x:c r="B9" s="24" t="str">
        <x:v>김지우 (가상)</x:v>
      </x:c>
      <x:c r="C9" s="26" t="n">
        <x:v>300000000</x:v>
      </x:c>
      <x:c r="D9" s="44" t="n">
        <x:v>46387</x:v>
      </x:c>
      <x:c r="E9" s="24" t="str">
        <x:v>별도 현금 재원</x:v>
      </x:c>
      <x:c r="F9" s="26"/>
      <x:c r="G9" s="44"/>
      <x:c r="H9" s="24" t="str">
        <x:v>별도 대안 B. 아직 지급되지 않은 계획</x:v>
      </x:c>
    </x:row>
    <x:row r="10" ht="45" customHeight="1">
      <x:c r="A10" s="24" t="str">
        <x:v>이다온 (가상)</x:v>
      </x:c>
      <x:c r="B10" s="24" t="str">
        <x:v>김서준 (가상)</x:v>
      </x:c>
      <x:c r="C10" s="26" t="n">
        <x:v>300000000</x:v>
      </x:c>
      <x:c r="D10" s="44" t="n">
        <x:v>46387</x:v>
      </x:c>
      <x:c r="E10" s="24" t="str">
        <x:v>별도 현금 재원</x:v>
      </x:c>
      <x:c r="F10" s="26"/>
      <x:c r="G10" s="44"/>
      <x:c r="H10" s="24" t="str">
        <x:v>계약·세무효과·재원 확인 전</x:v>
      </x:c>
    </x:row>
    <x:row r="11" ht="23" customHeight="1">
      <x:c r="A11" s="24"/>
      <x:c r="B11" s="24"/>
      <x:c r="C11" s="26"/>
      <x:c r="D11" s="44"/>
      <x:c r="E11" s="24"/>
      <x:c r="F11" s="26"/>
      <x:c r="G11" s="44"/>
      <x:c r="H11" s="24"/>
    </x:row>
    <x:row r="12" ht="23" customHeight="1">
      <x:c r="A12" s="24"/>
      <x:c r="B12" s="24"/>
      <x:c r="C12" s="26"/>
      <x:c r="D12" s="44"/>
      <x:c r="E12" s="24"/>
      <x:c r="F12" s="26"/>
      <x:c r="G12" s="44"/>
      <x:c r="H12" s="24"/>
    </x:row>
    <x:row r="13" ht="23" customHeight="1">
      <x:c r="A13" s="24"/>
      <x:c r="B13" s="24"/>
      <x:c r="C13" s="26"/>
      <x:c r="D13" s="44"/>
      <x:c r="E13" s="24"/>
      <x:c r="F13" s="26"/>
      <x:c r="G13" s="44"/>
      <x:c r="H13" s="24"/>
    </x:row>
    <x:row r="14" ht="23" customHeight="1">
      <x:c r="A14" s="24"/>
      <x:c r="B14" s="24"/>
      <x:c r="C14" s="26"/>
      <x:c r="D14" s="44"/>
      <x:c r="E14" s="24"/>
      <x:c r="F14" s="26"/>
      <x:c r="G14" s="44"/>
      <x:c r="H14" s="24"/>
    </x:row>
    <x:row r="15" ht="23" customHeight="1">
      <x:c r="A15" s="24"/>
      <x:c r="B15" s="24"/>
      <x:c r="C15" s="26"/>
      <x:c r="D15" s="44"/>
      <x:c r="E15" s="24"/>
      <x:c r="F15" s="26"/>
      <x:c r="G15" s="44"/>
      <x:c r="H15" s="24"/>
    </x:row>
    <x:row r="16" ht="23" customHeight="1">
      <x:c r="A16" s="24"/>
      <x:c r="B16" s="24"/>
      <x:c r="C16" s="26"/>
      <x:c r="D16" s="44"/>
      <x:c r="E16" s="24"/>
      <x:c r="F16" s="26"/>
      <x:c r="G16" s="44"/>
      <x:c r="H16" s="24"/>
    </x:row>
    <x:row r="17" ht="23" customHeight="1">
      <x:c r="A17" s="24"/>
      <x:c r="B17" s="24"/>
      <x:c r="C17" s="26"/>
      <x:c r="D17" s="44"/>
      <x:c r="E17" s="24"/>
      <x:c r="F17" s="26"/>
      <x:c r="G17" s="44"/>
      <x:c r="H17" s="24"/>
    </x:row>
    <x:row r="18" ht="23" customHeight="1">
      <x:c r="A18" s="24"/>
      <x:c r="B18" s="24"/>
      <x:c r="C18" s="26"/>
      <x:c r="D18" s="44"/>
      <x:c r="E18" s="24"/>
      <x:c r="F18" s="26"/>
      <x:c r="G18" s="44"/>
      <x:c r="H18" s="24"/>
    </x:row>
    <x:row r="19" ht="23" customHeight="1">
      <x:c r="A19" s="6"/>
      <x:c r="B19" s="6"/>
      <x:c r="C19" s="6"/>
      <x:c r="D19" s="6"/>
      <x:c r="E19" s="6"/>
      <x:c r="F19" s="6"/>
      <x:c r="G19" s="6"/>
      <x:c r="H19" s="6"/>
    </x:row>
    <x:row r="20" ht="23" customHeight="1">
      <x:c r="A20" s="6" t="str">
        <x:v>계획금액 합계</x:v>
      </x:c>
      <x:c r="B20" s="6"/>
      <x:c r="C20" s="30" t="n">
        <x:f>IF(COUNT(C9:C18)=0,"",SUM(C9:C18))</x:f>
        <x:v>600000000</x:v>
      </x:c>
      <x:c r="D20" s="6"/>
      <x:c r="E20" s="6" t="str">
        <x:v>실제지급 합계</x:v>
      </x:c>
      <x:c r="F20" s="30" t="str">
        <x:f>IF(COUNT(F9:F18)=0,"",SUM(F9:F18))</x:f>
      </x:c>
      <x:c r="G20" s="6"/>
      <x:c r="H20" s="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</x:row>
    <x:row r="23" ht="23" customHeight="1">
      <x:c r="A23" s="6" t="str">
        <x:v>실제 지급액을 비워두면 지급 여부 미확인입니다. 계획금액을 실제 지급액으로 자동 복사하지 않습니다. 정산 약정·채무 인수·세금 부담은 합의 및 제3자에 대한 효력을 별도로 검토합니다.</x:v>
      </x:c>
      <x:c r="B23" s="6"/>
      <x:c r="C23" s="6"/>
      <x:c r="D23" s="6"/>
      <x:c r="E23" s="6"/>
      <x:c r="F23" s="6"/>
      <x:c r="G23" s="6"/>
      <x:c r="H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</x:sheetData>
  <x:mergeCells>
    <x:mergeCell ref="A1:H2"/>
    <x:mergeCell ref="A3:H3"/>
    <x:mergeCell ref="A23:H25"/>
  </x:mergeCells>
  <x:pageMargins left="0.7" right="0.7" top="0.75" bottom="0.75" header="0.3" footer="0.3"/>
</x:worksheet>
</file>