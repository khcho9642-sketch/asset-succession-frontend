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e7734816e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용안내" sheetId="1" r:id="R20866c524c1848c0"/>
    <x:sheet xmlns:r="http://schemas.openxmlformats.org/officeDocument/2006/relationships" name="빈양식" sheetId="2" r:id="Rc607c009674f4be8"/>
    <x:sheet xmlns:r="http://schemas.openxmlformats.org/officeDocument/2006/relationships" name="작성예시" sheetId="3" r:id="R17b35398d2d2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-#,##0;0"/>
    <x:numFmt numFmtId="201" formatCode="0.00%"/>
    <x:numFmt numFmtId="202" formatCode="yyyy-mm-dd"/>
  </x:numFmts>
  <x:fonts count="7">
    <x:font>
      <x:sz val="11"/>
      <x:name val="Carlito"/>
    </x:font>
    <x:font>
      <x:sz val="10"/>
      <x:color rgb="FF233847"/>
      <x:name val="NanumGothic"/>
    </x:font>
    <x:font>
      <x:b/>
      <x:sz val="18"/>
      <x:color rgb="FFFFFFFF"/>
      <x:name val="NanumGothic"/>
    </x:font>
    <x:font>
      <x:sz val="9"/>
      <x:color rgb="FFA34531"/>
      <x:name val="NanumGothic"/>
    </x:font>
    <x:font>
      <x:sz val="9"/>
      <x:color rgb="FF176C9C"/>
      <x:name val="NanumGothic"/>
    </x:font>
    <x:font>
      <x:sz val="10"/>
      <x:color rgb="FF176C9C"/>
      <x:name val="NanumGothic"/>
    </x:font>
    <x:font>
      <x:b/>
      <x:sz val="9"/>
      <x:color rgb="FFFFFFFF"/>
      <x:name val="Nanum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33847"/>
      </x:patternFill>
    </x:fill>
    <x:fill>
      <x:patternFill patternType="solid">
        <x:fgColor rgb="FFF5F1E8"/>
      </x:patternFill>
    </x:fill>
    <x:fill>
      <x:patternFill patternType="solid">
        <x:fgColor rgb="FFF7FBFD"/>
      </x:patternFill>
    </x:fill>
    <x:fill>
      <x:patternFill patternType="solid">
        <x:fgColor rgb="FFF0F0EB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202" fontId="5" fillId="4" borderId="0" xfId="0" applyNumberFormat="1" applyFont="1" applyFill="1" applyBorder="1" applyAlignment="1">
      <x:alignment vertical="center" wrapText="1"/>
    </x:xf>
    <x:xf numFmtId="202" fontId="5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f4cfff2fb446c" /><Relationship Type="http://schemas.openxmlformats.org/officeDocument/2006/relationships/theme" Target="/xl/theme/theme1.xml" Id="Rbf6653930deb49bb" /><Relationship Type="http://schemas.openxmlformats.org/officeDocument/2006/relationships/sharedStrings" Target="/xl/sharedStrings.xml" Id="R5f03e781d99345c1" /><Relationship Type="http://schemas.openxmlformats.org/officeDocument/2006/relationships/worksheet" Target="/xl/worksheets/sheet1.xml" Id="R20866c524c1848c0" /><Relationship Type="http://schemas.openxmlformats.org/officeDocument/2006/relationships/worksheet" Target="/xl/worksheets/sheet2.xml" Id="Rc607c009674f4be8" /><Relationship Type="http://schemas.openxmlformats.org/officeDocument/2006/relationships/worksheet" Target="/xl/worksheets/sheet3.xml" Id="R17b35398d2d241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9" t="str">
        <x:v>원리금 상환계획 · 실제 이체 확인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자산승계360 자체 참고 양식 · 세액 계산/공식 신고서식 아님 · v1.0 / 2026-09-13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 t="str">
        <x:v>입력은 파란 글씨 / 계산 셀은 회색 바탕 / 빈칸은 미입력, 0원과 다릅니다.</x:v>
      </x:c>
      <x:c r="B5" s="6"/>
      <x:c r="C5" s="6"/>
      <x:c r="D5" s="6"/>
      <x:c r="E5" s="6"/>
      <x:c r="F5" s="6"/>
      <x:c r="G5" s="6"/>
      <x:c r="H5" s="6"/>
    </x:row>
    <x:row r="6" ht="23" customHeight="1">
      <x:c r="A6" s="6"/>
      <x:c r="B6" s="6"/>
      <x:c r="C6" s="6"/>
      <x:c r="D6" s="6"/>
      <x:c r="E6" s="6"/>
      <x:c r="F6" s="6"/>
      <x:c r="G6" s="6"/>
      <x:c r="H6" s="6"/>
    </x:row>
    <x:row r="7" ht="22" customHeight="1">
      <x:c r="A7" s="6" t="str">
        <x:v>이 파일은 가족 간 차용증에 붙이는 보조표입니다. 사전상담에서 은행별 대출명세를 요구하는 파일이 아닙니다.</x:v>
      </x:c>
      <x:c r="B7" s="6"/>
      <x:c r="C7" s="6"/>
      <x:c r="D7" s="6"/>
      <x:c r="E7" s="6"/>
      <x:c r="F7" s="6"/>
      <x:c r="G7" s="6"/>
      <x:c r="H7" s="6"/>
    </x:row>
    <x:row r="8" ht="22" customHeight="1">
      <x:c r="A8" s="6"/>
      <x:c r="B8" s="6"/>
      <x:c r="C8" s="6"/>
      <x:c r="D8" s="6"/>
      <x:c r="E8" s="6"/>
      <x:c r="F8" s="6"/>
      <x:c r="G8" s="6"/>
      <x:c r="H8" s="6"/>
    </x:row>
    <x:row r="9" ht="23" customHeight="1">
      <x:c r="A9" s="6"/>
      <x:c r="B9" s="6"/>
      <x:c r="C9" s="6"/>
      <x:c r="D9" s="6"/>
      <x:c r="E9" s="6"/>
      <x:c r="F9" s="6"/>
      <x:c r="G9" s="6"/>
      <x:c r="H9" s="6"/>
    </x:row>
    <x:row r="10" ht="22" customHeight="1">
      <x:c r="A10" s="6" t="str">
        <x:v>지원 계산: 원금 만기일시상환 + 매월 단리 이자. 월이자 = 기초 원금 × 연이율 ÷ 12, 원 미만 반올림. 최대 36개월입니다. 연체·윤년·부분월·분할/중도상환 후 이자는 자동 계산하지 않습니다.</x:v>
      </x:c>
      <x:c r="B10" s="6"/>
      <x:c r="C10" s="6"/>
      <x:c r="D10" s="6"/>
      <x:c r="E10" s="6"/>
      <x:c r="F10" s="6"/>
      <x:c r="G10" s="6"/>
      <x:c r="H10" s="6"/>
    </x:row>
    <x:row r="11" ht="22" customHeight="1">
      <x:c r="A11" s="6"/>
      <x:c r="B11" s="6"/>
      <x:c r="C11" s="6"/>
      <x:c r="D11" s="6"/>
      <x:c r="E11" s="6"/>
      <x:c r="F11" s="6"/>
      <x:c r="G11" s="6"/>
      <x:c r="H11" s="6"/>
    </x:row>
    <x:row r="12" ht="23" customHeight="1">
      <x:c r="A12" s="6"/>
      <x:c r="B12" s="6"/>
      <x:c r="C12" s="6"/>
      <x:c r="D12" s="6"/>
      <x:c r="E12" s="6"/>
      <x:c r="F12" s="6"/>
      <x:c r="G12" s="6"/>
      <x:c r="H12" s="6"/>
    </x:row>
    <x:row r="13" ht="22" customHeight="1">
      <x:c r="A13" s="6" t="str">
        <x:v>실제 원금과 실제 이자는 구분하여 입력합니다. 만기 전 원금을 갚으면 이후 이자계획을 별도로 고쳐야 합니다. 예시 3%는 가상 약정률이며 세무상 적정이자율을 뜻하지 않습니다.</x:v>
      </x:c>
      <x:c r="B13" s="6"/>
      <x:c r="C13" s="6"/>
      <x:c r="D13" s="6"/>
      <x:c r="E13" s="6"/>
      <x:c r="F13" s="6"/>
      <x:c r="G13" s="6"/>
      <x:c r="H13" s="6"/>
    </x:row>
    <x:row r="14" ht="22" customHeight="1">
      <x:c r="A14" s="6"/>
      <x:c r="B14" s="6"/>
      <x:c r="C14" s="6"/>
      <x:c r="D14" s="6"/>
      <x:c r="E14" s="6"/>
      <x:c r="F14" s="6"/>
      <x:c r="G14" s="6"/>
      <x:c r="H14" s="6"/>
    </x:row>
    <x:row r="15" ht="23" customHeight="1">
      <x:c r="A15" s="6"/>
      <x:c r="B15" s="6"/>
      <x:c r="C15" s="6"/>
      <x:c r="D15" s="6"/>
      <x:c r="E15" s="6"/>
      <x:c r="F15" s="6"/>
      <x:c r="G15" s="6"/>
      <x:c r="H15" s="6"/>
    </x:row>
    <x:row r="16" ht="23" customHeight="1">
      <x:c r="A16" s="14" t="str">
        <x:v>공식 안내 참고 · 칸 구성/수식/가상 예시는 자체 제작 · 개별 법률·세무 검토 전</x:v>
      </x:c>
      <x:c r="B16" s="14"/>
      <x:c r="C16" s="14"/>
      <x:c r="D16" s="14"/>
      <x:c r="E16" s="14"/>
      <x:c r="F16" s="14"/>
      <x:c r="G16" s="14"/>
      <x:c r="H16" s="14"/>
    </x:row>
    <x:row r="17" ht="23" customHeight="1">
      <x:c r="A17" s="6"/>
      <x:c r="B17" s="6"/>
      <x:c r="C17" s="6"/>
      <x:c r="D17" s="6"/>
      <x:c r="E17" s="6"/>
      <x:c r="F17" s="6"/>
      <x:c r="G17" s="6"/>
      <x:c r="H17" s="6"/>
    </x:row>
    <x:row r="18" ht="23" customHeight="1">
      <x:c r="A18" s="6" t="str">
        <x:v>[MOLEG-L] 법제처 생활법령정보 | 차용증 작성하기</x:v>
      </x:c>
      <x:c r="B18" s="6"/>
      <x:c r="C18" s="6"/>
      <x:c r="D18" s="6"/>
      <x:c r="E18" s="6"/>
      <x:c r="F18" s="6"/>
      <x:c r="G18" s="6"/>
      <x:c r="H18" s="6"/>
    </x:row>
    <x:row r="19" ht="23" customHeight="1">
      <x:c r="A19" s="16" t="str">
        <x:v>https://www.easylaw.go.kr/CSP/CnpClsMain.laf?csmSeq=272&amp;ccfNo=2&amp;cciNo=2&amp;cnpClsNo=1</x:v>
      </x:c>
      <x:c r="B19" s="16"/>
      <x:c r="C19" s="16"/>
      <x:c r="D19" s="16"/>
      <x:c r="E19" s="16"/>
      <x:c r="F19" s="16"/>
      <x:c r="G19" s="16"/>
      <x:c r="H19" s="16"/>
    </x:row>
    <x:row r="20" ht="23" customHeight="1">
      <x:c r="A20" s="16"/>
      <x:c r="B20" s="16"/>
      <x:c r="C20" s="16"/>
      <x:c r="D20" s="16"/>
      <x:c r="E20" s="16"/>
      <x:c r="F20" s="16"/>
      <x:c r="G20" s="16"/>
      <x:c r="H20" s="16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</x:row>
    <x:row r="22" ht="23" customHeight="1">
      <x:c r="A22" s="6" t="str">
        <x:v>[NTS-G] 국세청 | 증여세 신고납부기한·제출대상서류</x:v>
      </x:c>
      <x:c r="B22" s="6"/>
      <x:c r="C22" s="6"/>
      <x:c r="D22" s="6"/>
      <x:c r="E22" s="6"/>
      <x:c r="F22" s="6"/>
      <x:c r="G22" s="6"/>
      <x:c r="H22" s="6"/>
    </x:row>
    <x:row r="23" ht="23" customHeight="1">
      <x:c r="A23" s="16" t="str">
        <x:v>https://www.nts.go.kr/nts/cm/cntnts/cntntsView.do?cntntsId=7727&amp;mi=2339</x:v>
      </x:c>
      <x:c r="B23" s="16"/>
      <x:c r="C23" s="16"/>
      <x:c r="D23" s="16"/>
      <x:c r="E23" s="16"/>
      <x:c r="F23" s="16"/>
      <x:c r="G23" s="16"/>
      <x:c r="H23" s="16"/>
    </x:row>
    <x:row r="24" ht="23" customHeight="1">
      <x:c r="A24" s="16"/>
      <x:c r="B24" s="16"/>
      <x:c r="C24" s="16"/>
      <x:c r="D24" s="16"/>
      <x:c r="E24" s="16"/>
      <x:c r="F24" s="16"/>
      <x:c r="G24" s="16"/>
      <x:c r="H24" s="16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</x:row>
    <x:row r="26" ht="23" customHeight="1">
      <x:c r="A26" s="6"/>
      <x:c r="B26" s="6"/>
      <x:c r="C26" s="6"/>
      <x:c r="D26" s="6"/>
      <x:c r="E26" s="6"/>
      <x:c r="F26" s="6"/>
      <x:c r="G26" s="6"/>
      <x:c r="H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</x:row>
  </x:sheetData>
  <x:mergeCells>
    <x:mergeCell ref="A1:H2"/>
    <x:mergeCell ref="A3:H3"/>
    <x:mergeCell ref="A5:H5"/>
    <x:mergeCell ref="A7:H8"/>
    <x:mergeCell ref="A10:H11"/>
    <x:mergeCell ref="A13:H14"/>
    <x:mergeCell ref="A16:H16"/>
    <x:mergeCell ref="A18:H18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18" hidden="0" customWidth="1"/>
    <x:col min="5" max="5" width="17" hidden="0" customWidth="1"/>
    <x:col min="6" max="6" width="18" hidden="0" customWidth="1"/>
    <x:col min="7" max="7" width="18" hidden="0" customWidth="1"/>
    <x:col min="8" max="8" width="17" hidden="0" customWidth="1"/>
    <x:col min="9" max="9" width="16" hidden="0" customWidth="1"/>
    <x:col min="10" max="10" width="23" hidden="0" customWidth="1"/>
    <x:col min="11" max="11" width="19" hidden="0" customWidth="1"/>
  </x:cols>
  <x:sheetData>
    <x:row r="1" ht="24" customHeight="1">
      <x:c r="A1" s="9" t="str">
        <x:v>원리금 상환계획 · 이체 확인표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30" customHeight="1">
      <x:c r="A3" s="12" t="str">
        <x:v>지원 방식: 만기일시·월이자 · 원 단위 · 미입력과 0 구분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3" customHeight="1">
      <x:c r="A5" s="6" t="str">
        <x:v>대여 원금</x:v>
      </x:c>
      <x:c r="B5" s="6"/>
      <x:c r="C5" s="22"/>
      <x:c r="D5" s="6" t="str">
        <x:v>약정 연이율</x:v>
      </x:c>
      <x:c r="E5" s="6"/>
      <x:c r="F5" s="24"/>
      <x:c r="G5" s="6" t="str">
        <x:v>개월 수 (1~36)</x:v>
      </x:c>
      <x:c r="H5" s="6"/>
      <x:c r="I5" s="20"/>
      <x:c r="J5" s="6"/>
      <x:c r="K5" s="6"/>
    </x:row>
    <x:row r="6" ht="23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6" t="str">
        <x:v>실제 대여일</x:v>
      </x:c>
      <x:c r="B7" s="6"/>
      <x:c r="C7" s="26"/>
      <x:c r="D7" s="6" t="str">
        <x:v>첫 이자 지급일</x:v>
      </x:c>
      <x:c r="E7" s="6"/>
      <x:c r="F7" s="26"/>
      <x:c r="G7" s="12" t="str">
        <x:v>월이자만 계산 · 중도/분할상환 시 별도 정산</x:v>
      </x:c>
      <x:c r="H7" s="12"/>
      <x:c r="I7" s="12"/>
      <x:c r="J7" s="12"/>
      <x:c r="K7" s="12"/>
    </x:row>
    <x:row r="8" ht="23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ht="23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</x:row>
    <x:row r="10" ht="34" customHeight="1">
      <x:c r="A10" s="29" t="str">
        <x:v>회차</x:v>
      </x:c>
      <x:c r="B10" s="29" t="str">
        <x:v>예정일</x:v>
      </x:c>
      <x:c r="C10" s="29" t="str">
        <x:v>계획 기초원금</x:v>
      </x:c>
      <x:c r="D10" s="29" t="str">
        <x:v>원금 예정액</x:v>
      </x:c>
      <x:c r="E10" s="29" t="str">
        <x:v>이자 예정액</x:v>
      </x:c>
      <x:c r="F10" s="29" t="str">
        <x:v>예정 합계</x:v>
      </x:c>
      <x:c r="G10" s="29" t="str">
        <x:v>실제 원금</x:v>
      </x:c>
      <x:c r="H10" s="29" t="str">
        <x:v>실제 이자</x:v>
      </x:c>
      <x:c r="I10" s="29" t="str">
        <x:v>실제 지급일</x:v>
      </x:c>
      <x:c r="J10" s="29" t="str">
        <x:v>증빙·비고</x:v>
      </x:c>
      <x:c r="K10" s="29" t="str">
        <x:v>입력 후 원금잔액</x:v>
      </x:c>
    </x:row>
    <x:row r="11" ht="23" customHeight="1">
      <x:c r="A11" s="32" t="str">
        <x:f>IF(OR($C$5="",$F$5="",$I$5="",$F$7="",$C$5&lt;0,$F$5&lt;0,$I$5&lt;1,$I$5&gt;36,MOD($I$5,1)&lt;&gt;0,1&gt;$I$5),"",1)</x:f>
      </x:c>
      <x:c r="B11" s="36" t="str">
        <x:f>IF(A11="","",EDATE($F$7,A11-1))</x:f>
      </x:c>
      <x:c r="C11" s="34" t="str">
        <x:f>IF(A11="","",$C$5)</x:f>
      </x:c>
      <x:c r="D11" s="34" t="str">
        <x:f>IF(A11="","",IF(A11=$I$5,$C$5,0))</x:f>
      </x:c>
      <x:c r="E11" s="34" t="str">
        <x:f>IF(A11="","",ROUND(C11*$F$5/12,0))</x:f>
      </x:c>
      <x:c r="F11" s="34" t="str">
        <x:f>IF(A11="","",D11+E11)</x:f>
      </x:c>
      <x:c r="G11" s="22"/>
      <x:c r="H11" s="22"/>
      <x:c r="I11" s="26"/>
      <x:c r="J11" s="20"/>
      <x:c r="K11" s="34" t="str">
        <x:f>IF(OR($C$5="",COUNT(G$11:G11)=0),"",$C$5-SUM(G$11:G11))</x:f>
      </x:c>
    </x:row>
    <x:row r="12" ht="23" customHeight="1">
      <x:c r="A12" s="32" t="str">
        <x:f>IF(OR($C$5="",$F$5="",$I$5="",$F$7="",$C$5&lt;0,$F$5&lt;0,$I$5&lt;1,$I$5&gt;36,MOD($I$5,1)&lt;&gt;0,2&gt;$I$5),"",2)</x:f>
      </x:c>
      <x:c r="B12" s="36" t="str">
        <x:f>IF(A12="","",EDATE($F$7,A12-1))</x:f>
      </x:c>
      <x:c r="C12" s="34" t="str">
        <x:f>IF(A12="","",$C$5)</x:f>
      </x:c>
      <x:c r="D12" s="34" t="str">
        <x:f>IF(A12="","",IF(A12=$I$5,$C$5,0))</x:f>
      </x:c>
      <x:c r="E12" s="34" t="str">
        <x:f>IF(A12="","",ROUND(C12*$F$5/12,0))</x:f>
      </x:c>
      <x:c r="F12" s="34" t="str">
        <x:f>IF(A12="","",D12+E12)</x:f>
      </x:c>
      <x:c r="G12" s="22"/>
      <x:c r="H12" s="22"/>
      <x:c r="I12" s="26"/>
      <x:c r="J12" s="20"/>
      <x:c r="K12" s="34" t="str">
        <x:f>IF(OR($C$5="",COUNT(G$11:G12)=0),"",$C$5-SUM(G$11:G12))</x:f>
      </x:c>
    </x:row>
    <x:row r="13" ht="23" customHeight="1">
      <x:c r="A13" s="32" t="str">
        <x:f>IF(OR($C$5="",$F$5="",$I$5="",$F$7="",$C$5&lt;0,$F$5&lt;0,$I$5&lt;1,$I$5&gt;36,MOD($I$5,1)&lt;&gt;0,3&gt;$I$5),"",3)</x:f>
      </x:c>
      <x:c r="B13" s="36" t="str">
        <x:f>IF(A13="","",EDATE($F$7,A13-1))</x:f>
      </x:c>
      <x:c r="C13" s="34" t="str">
        <x:f>IF(A13="","",$C$5)</x:f>
      </x:c>
      <x:c r="D13" s="34" t="str">
        <x:f>IF(A13="","",IF(A13=$I$5,$C$5,0))</x:f>
      </x:c>
      <x:c r="E13" s="34" t="str">
        <x:f>IF(A13="","",ROUND(C13*$F$5/12,0))</x:f>
      </x:c>
      <x:c r="F13" s="34" t="str">
        <x:f>IF(A13="","",D13+E13)</x:f>
      </x:c>
      <x:c r="G13" s="22"/>
      <x:c r="H13" s="22"/>
      <x:c r="I13" s="26"/>
      <x:c r="J13" s="20"/>
      <x:c r="K13" s="34" t="str">
        <x:f>IF(OR($C$5="",COUNT(G$11:G13)=0),"",$C$5-SUM(G$11:G13))</x:f>
      </x:c>
    </x:row>
    <x:row r="14" ht="23" customHeight="1">
      <x:c r="A14" s="32" t="str">
        <x:f>IF(OR($C$5="",$F$5="",$I$5="",$F$7="",$C$5&lt;0,$F$5&lt;0,$I$5&lt;1,$I$5&gt;36,MOD($I$5,1)&lt;&gt;0,4&gt;$I$5),"",4)</x:f>
      </x:c>
      <x:c r="B14" s="36" t="str">
        <x:f>IF(A14="","",EDATE($F$7,A14-1))</x:f>
      </x:c>
      <x:c r="C14" s="34" t="str">
        <x:f>IF(A14="","",$C$5)</x:f>
      </x:c>
      <x:c r="D14" s="34" t="str">
        <x:f>IF(A14="","",IF(A14=$I$5,$C$5,0))</x:f>
      </x:c>
      <x:c r="E14" s="34" t="str">
        <x:f>IF(A14="","",ROUND(C14*$F$5/12,0))</x:f>
      </x:c>
      <x:c r="F14" s="34" t="str">
        <x:f>IF(A14="","",D14+E14)</x:f>
      </x:c>
      <x:c r="G14" s="22"/>
      <x:c r="H14" s="22"/>
      <x:c r="I14" s="26"/>
      <x:c r="J14" s="20"/>
      <x:c r="K14" s="34" t="str">
        <x:f>IF(OR($C$5="",COUNT(G$11:G14)=0),"",$C$5-SUM(G$11:G14))</x:f>
      </x:c>
    </x:row>
    <x:row r="15" ht="23" customHeight="1">
      <x:c r="A15" s="32" t="str">
        <x:f>IF(OR($C$5="",$F$5="",$I$5="",$F$7="",$C$5&lt;0,$F$5&lt;0,$I$5&lt;1,$I$5&gt;36,MOD($I$5,1)&lt;&gt;0,5&gt;$I$5),"",5)</x:f>
      </x:c>
      <x:c r="B15" s="36" t="str">
        <x:f>IF(A15="","",EDATE($F$7,A15-1))</x:f>
      </x:c>
      <x:c r="C15" s="34" t="str">
        <x:f>IF(A15="","",$C$5)</x:f>
      </x:c>
      <x:c r="D15" s="34" t="str">
        <x:f>IF(A15="","",IF(A15=$I$5,$C$5,0))</x:f>
      </x:c>
      <x:c r="E15" s="34" t="str">
        <x:f>IF(A15="","",ROUND(C15*$F$5/12,0))</x:f>
      </x:c>
      <x:c r="F15" s="34" t="str">
        <x:f>IF(A15="","",D15+E15)</x:f>
      </x:c>
      <x:c r="G15" s="22"/>
      <x:c r="H15" s="22"/>
      <x:c r="I15" s="26"/>
      <x:c r="J15" s="20"/>
      <x:c r="K15" s="34" t="str">
        <x:f>IF(OR($C$5="",COUNT(G$11:G15)=0),"",$C$5-SUM(G$11:G15))</x:f>
      </x:c>
    </x:row>
    <x:row r="16" ht="23" customHeight="1">
      <x:c r="A16" s="32" t="str">
        <x:f>IF(OR($C$5="",$F$5="",$I$5="",$F$7="",$C$5&lt;0,$F$5&lt;0,$I$5&lt;1,$I$5&gt;36,MOD($I$5,1)&lt;&gt;0,6&gt;$I$5),"",6)</x:f>
      </x:c>
      <x:c r="B16" s="36" t="str">
        <x:f>IF(A16="","",EDATE($F$7,A16-1))</x:f>
      </x:c>
      <x:c r="C16" s="34" t="str">
        <x:f>IF(A16="","",$C$5)</x:f>
      </x:c>
      <x:c r="D16" s="34" t="str">
        <x:f>IF(A16="","",IF(A16=$I$5,$C$5,0))</x:f>
      </x:c>
      <x:c r="E16" s="34" t="str">
        <x:f>IF(A16="","",ROUND(C16*$F$5/12,0))</x:f>
      </x:c>
      <x:c r="F16" s="34" t="str">
        <x:f>IF(A16="","",D16+E16)</x:f>
      </x:c>
      <x:c r="G16" s="22"/>
      <x:c r="H16" s="22"/>
      <x:c r="I16" s="26"/>
      <x:c r="J16" s="20"/>
      <x:c r="K16" s="34" t="str">
        <x:f>IF(OR($C$5="",COUNT(G$11:G16)=0),"",$C$5-SUM(G$11:G16))</x:f>
      </x:c>
    </x:row>
    <x:row r="17" ht="23" customHeight="1">
      <x:c r="A17" s="32" t="str">
        <x:f>IF(OR($C$5="",$F$5="",$I$5="",$F$7="",$C$5&lt;0,$F$5&lt;0,$I$5&lt;1,$I$5&gt;36,MOD($I$5,1)&lt;&gt;0,7&gt;$I$5),"",7)</x:f>
      </x:c>
      <x:c r="B17" s="36" t="str">
        <x:f>IF(A17="","",EDATE($F$7,A17-1))</x:f>
      </x:c>
      <x:c r="C17" s="34" t="str">
        <x:f>IF(A17="","",$C$5)</x:f>
      </x:c>
      <x:c r="D17" s="34" t="str">
        <x:f>IF(A17="","",IF(A17=$I$5,$C$5,0))</x:f>
      </x:c>
      <x:c r="E17" s="34" t="str">
        <x:f>IF(A17="","",ROUND(C17*$F$5/12,0))</x:f>
      </x:c>
      <x:c r="F17" s="34" t="str">
        <x:f>IF(A17="","",D17+E17)</x:f>
      </x:c>
      <x:c r="G17" s="22"/>
      <x:c r="H17" s="22"/>
      <x:c r="I17" s="26"/>
      <x:c r="J17" s="20"/>
      <x:c r="K17" s="34" t="str">
        <x:f>IF(OR($C$5="",COUNT(G$11:G17)=0),"",$C$5-SUM(G$11:G17))</x:f>
      </x:c>
    </x:row>
    <x:row r="18" ht="23" customHeight="1">
      <x:c r="A18" s="32" t="str">
        <x:f>IF(OR($C$5="",$F$5="",$I$5="",$F$7="",$C$5&lt;0,$F$5&lt;0,$I$5&lt;1,$I$5&gt;36,MOD($I$5,1)&lt;&gt;0,8&gt;$I$5),"",8)</x:f>
      </x:c>
      <x:c r="B18" s="36" t="str">
        <x:f>IF(A18="","",EDATE($F$7,A18-1))</x:f>
      </x:c>
      <x:c r="C18" s="34" t="str">
        <x:f>IF(A18="","",$C$5)</x:f>
      </x:c>
      <x:c r="D18" s="34" t="str">
        <x:f>IF(A18="","",IF(A18=$I$5,$C$5,0))</x:f>
      </x:c>
      <x:c r="E18" s="34" t="str">
        <x:f>IF(A18="","",ROUND(C18*$F$5/12,0))</x:f>
      </x:c>
      <x:c r="F18" s="34" t="str">
        <x:f>IF(A18="","",D18+E18)</x:f>
      </x:c>
      <x:c r="G18" s="22"/>
      <x:c r="H18" s="22"/>
      <x:c r="I18" s="26"/>
      <x:c r="J18" s="20"/>
      <x:c r="K18" s="34" t="str">
        <x:f>IF(OR($C$5="",COUNT(G$11:G18)=0),"",$C$5-SUM(G$11:G18))</x:f>
      </x:c>
    </x:row>
    <x:row r="19" ht="23" customHeight="1">
      <x:c r="A19" s="32" t="str">
        <x:f>IF(OR($C$5="",$F$5="",$I$5="",$F$7="",$C$5&lt;0,$F$5&lt;0,$I$5&lt;1,$I$5&gt;36,MOD($I$5,1)&lt;&gt;0,9&gt;$I$5),"",9)</x:f>
      </x:c>
      <x:c r="B19" s="36" t="str">
        <x:f>IF(A19="","",EDATE($F$7,A19-1))</x:f>
      </x:c>
      <x:c r="C19" s="34" t="str">
        <x:f>IF(A19="","",$C$5)</x:f>
      </x:c>
      <x:c r="D19" s="34" t="str">
        <x:f>IF(A19="","",IF(A19=$I$5,$C$5,0))</x:f>
      </x:c>
      <x:c r="E19" s="34" t="str">
        <x:f>IF(A19="","",ROUND(C19*$F$5/12,0))</x:f>
      </x:c>
      <x:c r="F19" s="34" t="str">
        <x:f>IF(A19="","",D19+E19)</x:f>
      </x:c>
      <x:c r="G19" s="22"/>
      <x:c r="H19" s="22"/>
      <x:c r="I19" s="26"/>
      <x:c r="J19" s="20"/>
      <x:c r="K19" s="34" t="str">
        <x:f>IF(OR($C$5="",COUNT(G$11:G19)=0),"",$C$5-SUM(G$11:G19))</x:f>
      </x:c>
    </x:row>
    <x:row r="20" ht="23" customHeight="1">
      <x:c r="A20" s="32" t="str">
        <x:f>IF(OR($C$5="",$F$5="",$I$5="",$F$7="",$C$5&lt;0,$F$5&lt;0,$I$5&lt;1,$I$5&gt;36,MOD($I$5,1)&lt;&gt;0,10&gt;$I$5),"",10)</x:f>
      </x:c>
      <x:c r="B20" s="36" t="str">
        <x:f>IF(A20="","",EDATE($F$7,A20-1))</x:f>
      </x:c>
      <x:c r="C20" s="34" t="str">
        <x:f>IF(A20="","",$C$5)</x:f>
      </x:c>
      <x:c r="D20" s="34" t="str">
        <x:f>IF(A20="","",IF(A20=$I$5,$C$5,0))</x:f>
      </x:c>
      <x:c r="E20" s="34" t="str">
        <x:f>IF(A20="","",ROUND(C20*$F$5/12,0))</x:f>
      </x:c>
      <x:c r="F20" s="34" t="str">
        <x:f>IF(A20="","",D20+E20)</x:f>
      </x:c>
      <x:c r="G20" s="22"/>
      <x:c r="H20" s="22"/>
      <x:c r="I20" s="26"/>
      <x:c r="J20" s="20"/>
      <x:c r="K20" s="34" t="str">
        <x:f>IF(OR($C$5="",COUNT(G$11:G20)=0),"",$C$5-SUM(G$11:G20))</x:f>
      </x:c>
    </x:row>
    <x:row r="21" ht="23" customHeight="1">
      <x:c r="A21" s="32" t="str">
        <x:f>IF(OR($C$5="",$F$5="",$I$5="",$F$7="",$C$5&lt;0,$F$5&lt;0,$I$5&lt;1,$I$5&gt;36,MOD($I$5,1)&lt;&gt;0,11&gt;$I$5),"",11)</x:f>
      </x:c>
      <x:c r="B21" s="36" t="str">
        <x:f>IF(A21="","",EDATE($F$7,A21-1))</x:f>
      </x:c>
      <x:c r="C21" s="34" t="str">
        <x:f>IF(A21="","",$C$5)</x:f>
      </x:c>
      <x:c r="D21" s="34" t="str">
        <x:f>IF(A21="","",IF(A21=$I$5,$C$5,0))</x:f>
      </x:c>
      <x:c r="E21" s="34" t="str">
        <x:f>IF(A21="","",ROUND(C21*$F$5/12,0))</x:f>
      </x:c>
      <x:c r="F21" s="34" t="str">
        <x:f>IF(A21="","",D21+E21)</x:f>
      </x:c>
      <x:c r="G21" s="22"/>
      <x:c r="H21" s="22"/>
      <x:c r="I21" s="26"/>
      <x:c r="J21" s="20"/>
      <x:c r="K21" s="34" t="str">
        <x:f>IF(OR($C$5="",COUNT(G$11:G21)=0),"",$C$5-SUM(G$11:G21))</x:f>
      </x:c>
    </x:row>
    <x:row r="22" ht="23" customHeight="1">
      <x:c r="A22" s="32" t="str">
        <x:f>IF(OR($C$5="",$F$5="",$I$5="",$F$7="",$C$5&lt;0,$F$5&lt;0,$I$5&lt;1,$I$5&gt;36,MOD($I$5,1)&lt;&gt;0,12&gt;$I$5),"",12)</x:f>
      </x:c>
      <x:c r="B22" s="36" t="str">
        <x:f>IF(A22="","",EDATE($F$7,A22-1))</x:f>
      </x:c>
      <x:c r="C22" s="34" t="str">
        <x:f>IF(A22="","",$C$5)</x:f>
      </x:c>
      <x:c r="D22" s="34" t="str">
        <x:f>IF(A22="","",IF(A22=$I$5,$C$5,0))</x:f>
      </x:c>
      <x:c r="E22" s="34" t="str">
        <x:f>IF(A22="","",ROUND(C22*$F$5/12,0))</x:f>
      </x:c>
      <x:c r="F22" s="34" t="str">
        <x:f>IF(A22="","",D22+E22)</x:f>
      </x:c>
      <x:c r="G22" s="22"/>
      <x:c r="H22" s="22"/>
      <x:c r="I22" s="26"/>
      <x:c r="J22" s="20"/>
      <x:c r="K22" s="34" t="str">
        <x:f>IF(OR($C$5="",COUNT(G$11:G22)=0),"",$C$5-SUM(G$11:G22))</x:f>
      </x:c>
    </x:row>
    <x:row r="23" ht="23" customHeight="1">
      <x:c r="A23" s="32" t="str">
        <x:f>IF(OR($C$5="",$F$5="",$I$5="",$F$7="",$C$5&lt;0,$F$5&lt;0,$I$5&lt;1,$I$5&gt;36,MOD($I$5,1)&lt;&gt;0,13&gt;$I$5),"",13)</x:f>
      </x:c>
      <x:c r="B23" s="36" t="str">
        <x:f>IF(A23="","",EDATE($F$7,A23-1))</x:f>
      </x:c>
      <x:c r="C23" s="34" t="str">
        <x:f>IF(A23="","",$C$5)</x:f>
      </x:c>
      <x:c r="D23" s="34" t="str">
        <x:f>IF(A23="","",IF(A23=$I$5,$C$5,0))</x:f>
      </x:c>
      <x:c r="E23" s="34" t="str">
        <x:f>IF(A23="","",ROUND(C23*$F$5/12,0))</x:f>
      </x:c>
      <x:c r="F23" s="34" t="str">
        <x:f>IF(A23="","",D23+E23)</x:f>
      </x:c>
      <x:c r="G23" s="22"/>
      <x:c r="H23" s="22"/>
      <x:c r="I23" s="26"/>
      <x:c r="J23" s="20"/>
      <x:c r="K23" s="34" t="str">
        <x:f>IF(OR($C$5="",COUNT(G$11:G23)=0),"",$C$5-SUM(G$11:G23))</x:f>
      </x:c>
    </x:row>
    <x:row r="24" ht="23" customHeight="1">
      <x:c r="A24" s="32" t="str">
        <x:f>IF(OR($C$5="",$F$5="",$I$5="",$F$7="",$C$5&lt;0,$F$5&lt;0,$I$5&lt;1,$I$5&gt;36,MOD($I$5,1)&lt;&gt;0,14&gt;$I$5),"",14)</x:f>
      </x:c>
      <x:c r="B24" s="36" t="str">
        <x:f>IF(A24="","",EDATE($F$7,A24-1))</x:f>
      </x:c>
      <x:c r="C24" s="34" t="str">
        <x:f>IF(A24="","",$C$5)</x:f>
      </x:c>
      <x:c r="D24" s="34" t="str">
        <x:f>IF(A24="","",IF(A24=$I$5,$C$5,0))</x:f>
      </x:c>
      <x:c r="E24" s="34" t="str">
        <x:f>IF(A24="","",ROUND(C24*$F$5/12,0))</x:f>
      </x:c>
      <x:c r="F24" s="34" t="str">
        <x:f>IF(A24="","",D24+E24)</x:f>
      </x:c>
      <x:c r="G24" s="22"/>
      <x:c r="H24" s="22"/>
      <x:c r="I24" s="26"/>
      <x:c r="J24" s="20"/>
      <x:c r="K24" s="34" t="str">
        <x:f>IF(OR($C$5="",COUNT(G$11:G24)=0),"",$C$5-SUM(G$11:G24))</x:f>
      </x:c>
    </x:row>
    <x:row r="25" ht="23" customHeight="1">
      <x:c r="A25" s="32" t="str">
        <x:f>IF(OR($C$5="",$F$5="",$I$5="",$F$7="",$C$5&lt;0,$F$5&lt;0,$I$5&lt;1,$I$5&gt;36,MOD($I$5,1)&lt;&gt;0,15&gt;$I$5),"",15)</x:f>
      </x:c>
      <x:c r="B25" s="36" t="str">
        <x:f>IF(A25="","",EDATE($F$7,A25-1))</x:f>
      </x:c>
      <x:c r="C25" s="34" t="str">
        <x:f>IF(A25="","",$C$5)</x:f>
      </x:c>
      <x:c r="D25" s="34" t="str">
        <x:f>IF(A25="","",IF(A25=$I$5,$C$5,0))</x:f>
      </x:c>
      <x:c r="E25" s="34" t="str">
        <x:f>IF(A25="","",ROUND(C25*$F$5/12,0))</x:f>
      </x:c>
      <x:c r="F25" s="34" t="str">
        <x:f>IF(A25="","",D25+E25)</x:f>
      </x:c>
      <x:c r="G25" s="22"/>
      <x:c r="H25" s="22"/>
      <x:c r="I25" s="26"/>
      <x:c r="J25" s="20"/>
      <x:c r="K25" s="34" t="str">
        <x:f>IF(OR($C$5="",COUNT(G$11:G25)=0),"",$C$5-SUM(G$11:G25))</x:f>
      </x:c>
    </x:row>
    <x:row r="26" ht="23" customHeight="1">
      <x:c r="A26" s="32" t="str">
        <x:f>IF(OR($C$5="",$F$5="",$I$5="",$F$7="",$C$5&lt;0,$F$5&lt;0,$I$5&lt;1,$I$5&gt;36,MOD($I$5,1)&lt;&gt;0,16&gt;$I$5),"",16)</x:f>
      </x:c>
      <x:c r="B26" s="36" t="str">
        <x:f>IF(A26="","",EDATE($F$7,A26-1))</x:f>
      </x:c>
      <x:c r="C26" s="34" t="str">
        <x:f>IF(A26="","",$C$5)</x:f>
      </x:c>
      <x:c r="D26" s="34" t="str">
        <x:f>IF(A26="","",IF(A26=$I$5,$C$5,0))</x:f>
      </x:c>
      <x:c r="E26" s="34" t="str">
        <x:f>IF(A26="","",ROUND(C26*$F$5/12,0))</x:f>
      </x:c>
      <x:c r="F26" s="34" t="str">
        <x:f>IF(A26="","",D26+E26)</x:f>
      </x:c>
      <x:c r="G26" s="22"/>
      <x:c r="H26" s="22"/>
      <x:c r="I26" s="26"/>
      <x:c r="J26" s="20"/>
      <x:c r="K26" s="34" t="str">
        <x:f>IF(OR($C$5="",COUNT(G$11:G26)=0),"",$C$5-SUM(G$11:G26))</x:f>
      </x:c>
    </x:row>
    <x:row r="27" ht="23" customHeight="1">
      <x:c r="A27" s="32" t="str">
        <x:f>IF(OR($C$5="",$F$5="",$I$5="",$F$7="",$C$5&lt;0,$F$5&lt;0,$I$5&lt;1,$I$5&gt;36,MOD($I$5,1)&lt;&gt;0,17&gt;$I$5),"",17)</x:f>
      </x:c>
      <x:c r="B27" s="36" t="str">
        <x:f>IF(A27="","",EDATE($F$7,A27-1))</x:f>
      </x:c>
      <x:c r="C27" s="34" t="str">
        <x:f>IF(A27="","",$C$5)</x:f>
      </x:c>
      <x:c r="D27" s="34" t="str">
        <x:f>IF(A27="","",IF(A27=$I$5,$C$5,0))</x:f>
      </x:c>
      <x:c r="E27" s="34" t="str">
        <x:f>IF(A27="","",ROUND(C27*$F$5/12,0))</x:f>
      </x:c>
      <x:c r="F27" s="34" t="str">
        <x:f>IF(A27="","",D27+E27)</x:f>
      </x:c>
      <x:c r="G27" s="22"/>
      <x:c r="H27" s="22"/>
      <x:c r="I27" s="26"/>
      <x:c r="J27" s="20"/>
      <x:c r="K27" s="34" t="str">
        <x:f>IF(OR($C$5="",COUNT(G$11:G27)=0),"",$C$5-SUM(G$11:G27))</x:f>
      </x:c>
    </x:row>
    <x:row r="28" ht="23" customHeight="1">
      <x:c r="A28" s="32" t="str">
        <x:f>IF(OR($C$5="",$F$5="",$I$5="",$F$7="",$C$5&lt;0,$F$5&lt;0,$I$5&lt;1,$I$5&gt;36,MOD($I$5,1)&lt;&gt;0,18&gt;$I$5),"",18)</x:f>
      </x:c>
      <x:c r="B28" s="36" t="str">
        <x:f>IF(A28="","",EDATE($F$7,A28-1))</x:f>
      </x:c>
      <x:c r="C28" s="34" t="str">
        <x:f>IF(A28="","",$C$5)</x:f>
      </x:c>
      <x:c r="D28" s="34" t="str">
        <x:f>IF(A28="","",IF(A28=$I$5,$C$5,0))</x:f>
      </x:c>
      <x:c r="E28" s="34" t="str">
        <x:f>IF(A28="","",ROUND(C28*$F$5/12,0))</x:f>
      </x:c>
      <x:c r="F28" s="34" t="str">
        <x:f>IF(A28="","",D28+E28)</x:f>
      </x:c>
      <x:c r="G28" s="22"/>
      <x:c r="H28" s="22"/>
      <x:c r="I28" s="26"/>
      <x:c r="J28" s="20"/>
      <x:c r="K28" s="34" t="str">
        <x:f>IF(OR($C$5="",COUNT(G$11:G28)=0),"",$C$5-SUM(G$11:G28))</x:f>
      </x:c>
    </x:row>
    <x:row r="29" ht="23" customHeight="1">
      <x:c r="A29" s="32" t="str">
        <x:f>IF(OR($C$5="",$F$5="",$I$5="",$F$7="",$C$5&lt;0,$F$5&lt;0,$I$5&lt;1,$I$5&gt;36,MOD($I$5,1)&lt;&gt;0,19&gt;$I$5),"",19)</x:f>
      </x:c>
      <x:c r="B29" s="36" t="str">
        <x:f>IF(A29="","",EDATE($F$7,A29-1))</x:f>
      </x:c>
      <x:c r="C29" s="34" t="str">
        <x:f>IF(A29="","",$C$5)</x:f>
      </x:c>
      <x:c r="D29" s="34" t="str">
        <x:f>IF(A29="","",IF(A29=$I$5,$C$5,0))</x:f>
      </x:c>
      <x:c r="E29" s="34" t="str">
        <x:f>IF(A29="","",ROUND(C29*$F$5/12,0))</x:f>
      </x:c>
      <x:c r="F29" s="34" t="str">
        <x:f>IF(A29="","",D29+E29)</x:f>
      </x:c>
      <x:c r="G29" s="22"/>
      <x:c r="H29" s="22"/>
      <x:c r="I29" s="26"/>
      <x:c r="J29" s="20"/>
      <x:c r="K29" s="34" t="str">
        <x:f>IF(OR($C$5="",COUNT(G$11:G29)=0),"",$C$5-SUM(G$11:G29))</x:f>
      </x:c>
    </x:row>
    <x:row r="30" ht="23" customHeight="1">
      <x:c r="A30" s="32" t="str">
        <x:f>IF(OR($C$5="",$F$5="",$I$5="",$F$7="",$C$5&lt;0,$F$5&lt;0,$I$5&lt;1,$I$5&gt;36,MOD($I$5,1)&lt;&gt;0,20&gt;$I$5),"",20)</x:f>
      </x:c>
      <x:c r="B30" s="36" t="str">
        <x:f>IF(A30="","",EDATE($F$7,A30-1))</x:f>
      </x:c>
      <x:c r="C30" s="34" t="str">
        <x:f>IF(A30="","",$C$5)</x:f>
      </x:c>
      <x:c r="D30" s="34" t="str">
        <x:f>IF(A30="","",IF(A30=$I$5,$C$5,0))</x:f>
      </x:c>
      <x:c r="E30" s="34" t="str">
        <x:f>IF(A30="","",ROUND(C30*$F$5/12,0))</x:f>
      </x:c>
      <x:c r="F30" s="34" t="str">
        <x:f>IF(A30="","",D30+E30)</x:f>
      </x:c>
      <x:c r="G30" s="22"/>
      <x:c r="H30" s="22"/>
      <x:c r="I30" s="26"/>
      <x:c r="J30" s="20"/>
      <x:c r="K30" s="34" t="str">
        <x:f>IF(OR($C$5="",COUNT(G$11:G30)=0),"",$C$5-SUM(G$11:G30))</x:f>
      </x:c>
    </x:row>
    <x:row r="31" ht="23" customHeight="1">
      <x:c r="A31" s="32" t="str">
        <x:f>IF(OR($C$5="",$F$5="",$I$5="",$F$7="",$C$5&lt;0,$F$5&lt;0,$I$5&lt;1,$I$5&gt;36,MOD($I$5,1)&lt;&gt;0,21&gt;$I$5),"",21)</x:f>
      </x:c>
      <x:c r="B31" s="36" t="str">
        <x:f>IF(A31="","",EDATE($F$7,A31-1))</x:f>
      </x:c>
      <x:c r="C31" s="34" t="str">
        <x:f>IF(A31="","",$C$5)</x:f>
      </x:c>
      <x:c r="D31" s="34" t="str">
        <x:f>IF(A31="","",IF(A31=$I$5,$C$5,0))</x:f>
      </x:c>
      <x:c r="E31" s="34" t="str">
        <x:f>IF(A31="","",ROUND(C31*$F$5/12,0))</x:f>
      </x:c>
      <x:c r="F31" s="34" t="str">
        <x:f>IF(A31="","",D31+E31)</x:f>
      </x:c>
      <x:c r="G31" s="22"/>
      <x:c r="H31" s="22"/>
      <x:c r="I31" s="26"/>
      <x:c r="J31" s="20"/>
      <x:c r="K31" s="34" t="str">
        <x:f>IF(OR($C$5="",COUNT(G$11:G31)=0),"",$C$5-SUM(G$11:G31))</x:f>
      </x:c>
    </x:row>
    <x:row r="32" ht="23" customHeight="1">
      <x:c r="A32" s="32" t="str">
        <x:f>IF(OR($C$5="",$F$5="",$I$5="",$F$7="",$C$5&lt;0,$F$5&lt;0,$I$5&lt;1,$I$5&gt;36,MOD($I$5,1)&lt;&gt;0,22&gt;$I$5),"",22)</x:f>
      </x:c>
      <x:c r="B32" s="36" t="str">
        <x:f>IF(A32="","",EDATE($F$7,A32-1))</x:f>
      </x:c>
      <x:c r="C32" s="34" t="str">
        <x:f>IF(A32="","",$C$5)</x:f>
      </x:c>
      <x:c r="D32" s="34" t="str">
        <x:f>IF(A32="","",IF(A32=$I$5,$C$5,0))</x:f>
      </x:c>
      <x:c r="E32" s="34" t="str">
        <x:f>IF(A32="","",ROUND(C32*$F$5/12,0))</x:f>
      </x:c>
      <x:c r="F32" s="34" t="str">
        <x:f>IF(A32="","",D32+E32)</x:f>
      </x:c>
      <x:c r="G32" s="22"/>
      <x:c r="H32" s="22"/>
      <x:c r="I32" s="26"/>
      <x:c r="J32" s="20"/>
      <x:c r="K32" s="34" t="str">
        <x:f>IF(OR($C$5="",COUNT(G$11:G32)=0),"",$C$5-SUM(G$11:G32))</x:f>
      </x:c>
    </x:row>
    <x:row r="33" ht="23" customHeight="1">
      <x:c r="A33" s="32" t="str">
        <x:f>IF(OR($C$5="",$F$5="",$I$5="",$F$7="",$C$5&lt;0,$F$5&lt;0,$I$5&lt;1,$I$5&gt;36,MOD($I$5,1)&lt;&gt;0,23&gt;$I$5),"",23)</x:f>
      </x:c>
      <x:c r="B33" s="36" t="str">
        <x:f>IF(A33="","",EDATE($F$7,A33-1))</x:f>
      </x:c>
      <x:c r="C33" s="34" t="str">
        <x:f>IF(A33="","",$C$5)</x:f>
      </x:c>
      <x:c r="D33" s="34" t="str">
        <x:f>IF(A33="","",IF(A33=$I$5,$C$5,0))</x:f>
      </x:c>
      <x:c r="E33" s="34" t="str">
        <x:f>IF(A33="","",ROUND(C33*$F$5/12,0))</x:f>
      </x:c>
      <x:c r="F33" s="34" t="str">
        <x:f>IF(A33="","",D33+E33)</x:f>
      </x:c>
      <x:c r="G33" s="22"/>
      <x:c r="H33" s="22"/>
      <x:c r="I33" s="26"/>
      <x:c r="J33" s="20"/>
      <x:c r="K33" s="34" t="str">
        <x:f>IF(OR($C$5="",COUNT(G$11:G33)=0),"",$C$5-SUM(G$11:G33))</x:f>
      </x:c>
    </x:row>
    <x:row r="34" ht="23" customHeight="1">
      <x:c r="A34" s="32" t="str">
        <x:f>IF(OR($C$5="",$F$5="",$I$5="",$F$7="",$C$5&lt;0,$F$5&lt;0,$I$5&lt;1,$I$5&gt;36,MOD($I$5,1)&lt;&gt;0,24&gt;$I$5),"",24)</x:f>
      </x:c>
      <x:c r="B34" s="36" t="str">
        <x:f>IF(A34="","",EDATE($F$7,A34-1))</x:f>
      </x:c>
      <x:c r="C34" s="34" t="str">
        <x:f>IF(A34="","",$C$5)</x:f>
      </x:c>
      <x:c r="D34" s="34" t="str">
        <x:f>IF(A34="","",IF(A34=$I$5,$C$5,0))</x:f>
      </x:c>
      <x:c r="E34" s="34" t="str">
        <x:f>IF(A34="","",ROUND(C34*$F$5/12,0))</x:f>
      </x:c>
      <x:c r="F34" s="34" t="str">
        <x:f>IF(A34="","",D34+E34)</x:f>
      </x:c>
      <x:c r="G34" s="22"/>
      <x:c r="H34" s="22"/>
      <x:c r="I34" s="26"/>
      <x:c r="J34" s="20"/>
      <x:c r="K34" s="34" t="str">
        <x:f>IF(OR($C$5="",COUNT(G$11:G34)=0),"",$C$5-SUM(G$11:G34))</x:f>
      </x:c>
    </x:row>
    <x:row r="35" ht="23" customHeight="1">
      <x:c r="A35" s="32" t="str">
        <x:f>IF(OR($C$5="",$F$5="",$I$5="",$F$7="",$C$5&lt;0,$F$5&lt;0,$I$5&lt;1,$I$5&gt;36,MOD($I$5,1)&lt;&gt;0,25&gt;$I$5),"",25)</x:f>
      </x:c>
      <x:c r="B35" s="36" t="str">
        <x:f>IF(A35="","",EDATE($F$7,A35-1))</x:f>
      </x:c>
      <x:c r="C35" s="34" t="str">
        <x:f>IF(A35="","",$C$5)</x:f>
      </x:c>
      <x:c r="D35" s="34" t="str">
        <x:f>IF(A35="","",IF(A35=$I$5,$C$5,0))</x:f>
      </x:c>
      <x:c r="E35" s="34" t="str">
        <x:f>IF(A35="","",ROUND(C35*$F$5/12,0))</x:f>
      </x:c>
      <x:c r="F35" s="34" t="str">
        <x:f>IF(A35="","",D35+E35)</x:f>
      </x:c>
      <x:c r="G35" s="22"/>
      <x:c r="H35" s="22"/>
      <x:c r="I35" s="26"/>
      <x:c r="J35" s="20"/>
      <x:c r="K35" s="34" t="str">
        <x:f>IF(OR($C$5="",COUNT(G$11:G35)=0),"",$C$5-SUM(G$11:G35))</x:f>
      </x:c>
    </x:row>
    <x:row r="36" ht="23" customHeight="1">
      <x:c r="A36" s="32" t="str">
        <x:f>IF(OR($C$5="",$F$5="",$I$5="",$F$7="",$C$5&lt;0,$F$5&lt;0,$I$5&lt;1,$I$5&gt;36,MOD($I$5,1)&lt;&gt;0,26&gt;$I$5),"",26)</x:f>
      </x:c>
      <x:c r="B36" s="36" t="str">
        <x:f>IF(A36="","",EDATE($F$7,A36-1))</x:f>
      </x:c>
      <x:c r="C36" s="34" t="str">
        <x:f>IF(A36="","",$C$5)</x:f>
      </x:c>
      <x:c r="D36" s="34" t="str">
        <x:f>IF(A36="","",IF(A36=$I$5,$C$5,0))</x:f>
      </x:c>
      <x:c r="E36" s="34" t="str">
        <x:f>IF(A36="","",ROUND(C36*$F$5/12,0))</x:f>
      </x:c>
      <x:c r="F36" s="34" t="str">
        <x:f>IF(A36="","",D36+E36)</x:f>
      </x:c>
      <x:c r="G36" s="22"/>
      <x:c r="H36" s="22"/>
      <x:c r="I36" s="26"/>
      <x:c r="J36" s="20"/>
      <x:c r="K36" s="34" t="str">
        <x:f>IF(OR($C$5="",COUNT(G$11:G36)=0),"",$C$5-SUM(G$11:G36))</x:f>
      </x:c>
    </x:row>
    <x:row r="37" ht="23" customHeight="1">
      <x:c r="A37" s="32" t="str">
        <x:f>IF(OR($C$5="",$F$5="",$I$5="",$F$7="",$C$5&lt;0,$F$5&lt;0,$I$5&lt;1,$I$5&gt;36,MOD($I$5,1)&lt;&gt;0,27&gt;$I$5),"",27)</x:f>
      </x:c>
      <x:c r="B37" s="36" t="str">
        <x:f>IF(A37="","",EDATE($F$7,A37-1))</x:f>
      </x:c>
      <x:c r="C37" s="34" t="str">
        <x:f>IF(A37="","",$C$5)</x:f>
      </x:c>
      <x:c r="D37" s="34" t="str">
        <x:f>IF(A37="","",IF(A37=$I$5,$C$5,0))</x:f>
      </x:c>
      <x:c r="E37" s="34" t="str">
        <x:f>IF(A37="","",ROUND(C37*$F$5/12,0))</x:f>
      </x:c>
      <x:c r="F37" s="34" t="str">
        <x:f>IF(A37="","",D37+E37)</x:f>
      </x:c>
      <x:c r="G37" s="22"/>
      <x:c r="H37" s="22"/>
      <x:c r="I37" s="26"/>
      <x:c r="J37" s="20"/>
      <x:c r="K37" s="34" t="str">
        <x:f>IF(OR($C$5="",COUNT(G$11:G37)=0),"",$C$5-SUM(G$11:G37))</x:f>
      </x:c>
    </x:row>
    <x:row r="38" ht="23" customHeight="1">
      <x:c r="A38" s="32" t="str">
        <x:f>IF(OR($C$5="",$F$5="",$I$5="",$F$7="",$C$5&lt;0,$F$5&lt;0,$I$5&lt;1,$I$5&gt;36,MOD($I$5,1)&lt;&gt;0,28&gt;$I$5),"",28)</x:f>
      </x:c>
      <x:c r="B38" s="36" t="str">
        <x:f>IF(A38="","",EDATE($F$7,A38-1))</x:f>
      </x:c>
      <x:c r="C38" s="34" t="str">
        <x:f>IF(A38="","",$C$5)</x:f>
      </x:c>
      <x:c r="D38" s="34" t="str">
        <x:f>IF(A38="","",IF(A38=$I$5,$C$5,0))</x:f>
      </x:c>
      <x:c r="E38" s="34" t="str">
        <x:f>IF(A38="","",ROUND(C38*$F$5/12,0))</x:f>
      </x:c>
      <x:c r="F38" s="34" t="str">
        <x:f>IF(A38="","",D38+E38)</x:f>
      </x:c>
      <x:c r="G38" s="22"/>
      <x:c r="H38" s="22"/>
      <x:c r="I38" s="26"/>
      <x:c r="J38" s="20"/>
      <x:c r="K38" s="34" t="str">
        <x:f>IF(OR($C$5="",COUNT(G$11:G38)=0),"",$C$5-SUM(G$11:G38))</x:f>
      </x:c>
    </x:row>
    <x:row r="39" ht="23" customHeight="1">
      <x:c r="A39" s="32" t="str">
        <x:f>IF(OR($C$5="",$F$5="",$I$5="",$F$7="",$C$5&lt;0,$F$5&lt;0,$I$5&lt;1,$I$5&gt;36,MOD($I$5,1)&lt;&gt;0,29&gt;$I$5),"",29)</x:f>
      </x:c>
      <x:c r="B39" s="36" t="str">
        <x:f>IF(A39="","",EDATE($F$7,A39-1))</x:f>
      </x:c>
      <x:c r="C39" s="34" t="str">
        <x:f>IF(A39="","",$C$5)</x:f>
      </x:c>
      <x:c r="D39" s="34" t="str">
        <x:f>IF(A39="","",IF(A39=$I$5,$C$5,0))</x:f>
      </x:c>
      <x:c r="E39" s="34" t="str">
        <x:f>IF(A39="","",ROUND(C39*$F$5/12,0))</x:f>
      </x:c>
      <x:c r="F39" s="34" t="str">
        <x:f>IF(A39="","",D39+E39)</x:f>
      </x:c>
      <x:c r="G39" s="22"/>
      <x:c r="H39" s="22"/>
      <x:c r="I39" s="26"/>
      <x:c r="J39" s="20"/>
      <x:c r="K39" s="34" t="str">
        <x:f>IF(OR($C$5="",COUNT(G$11:G39)=0),"",$C$5-SUM(G$11:G39))</x:f>
      </x:c>
    </x:row>
    <x:row r="40" ht="23" customHeight="1">
      <x:c r="A40" s="32" t="str">
        <x:f>IF(OR($C$5="",$F$5="",$I$5="",$F$7="",$C$5&lt;0,$F$5&lt;0,$I$5&lt;1,$I$5&gt;36,MOD($I$5,1)&lt;&gt;0,30&gt;$I$5),"",30)</x:f>
      </x:c>
      <x:c r="B40" s="36" t="str">
        <x:f>IF(A40="","",EDATE($F$7,A40-1))</x:f>
      </x:c>
      <x:c r="C40" s="34" t="str">
        <x:f>IF(A40="","",$C$5)</x:f>
      </x:c>
      <x:c r="D40" s="34" t="str">
        <x:f>IF(A40="","",IF(A40=$I$5,$C$5,0))</x:f>
      </x:c>
      <x:c r="E40" s="34" t="str">
        <x:f>IF(A40="","",ROUND(C40*$F$5/12,0))</x:f>
      </x:c>
      <x:c r="F40" s="34" t="str">
        <x:f>IF(A40="","",D40+E40)</x:f>
      </x:c>
      <x:c r="G40" s="22"/>
      <x:c r="H40" s="22"/>
      <x:c r="I40" s="26"/>
      <x:c r="J40" s="20"/>
      <x:c r="K40" s="34" t="str">
        <x:f>IF(OR($C$5="",COUNT(G$11:G40)=0),"",$C$5-SUM(G$11:G40))</x:f>
      </x:c>
    </x:row>
    <x:row r="41" ht="23" customHeight="1">
      <x:c r="A41" s="32" t="str">
        <x:f>IF(OR($C$5="",$F$5="",$I$5="",$F$7="",$C$5&lt;0,$F$5&lt;0,$I$5&lt;1,$I$5&gt;36,MOD($I$5,1)&lt;&gt;0,31&gt;$I$5),"",31)</x:f>
      </x:c>
      <x:c r="B41" s="36" t="str">
        <x:f>IF(A41="","",EDATE($F$7,A41-1))</x:f>
      </x:c>
      <x:c r="C41" s="34" t="str">
        <x:f>IF(A41="","",$C$5)</x:f>
      </x:c>
      <x:c r="D41" s="34" t="str">
        <x:f>IF(A41="","",IF(A41=$I$5,$C$5,0))</x:f>
      </x:c>
      <x:c r="E41" s="34" t="str">
        <x:f>IF(A41="","",ROUND(C41*$F$5/12,0))</x:f>
      </x:c>
      <x:c r="F41" s="34" t="str">
        <x:f>IF(A41="","",D41+E41)</x:f>
      </x:c>
      <x:c r="G41" s="22"/>
      <x:c r="H41" s="22"/>
      <x:c r="I41" s="26"/>
      <x:c r="J41" s="20"/>
      <x:c r="K41" s="34" t="str">
        <x:f>IF(OR($C$5="",COUNT(G$11:G41)=0),"",$C$5-SUM(G$11:G41))</x:f>
      </x:c>
    </x:row>
    <x:row r="42" ht="23" customHeight="1">
      <x:c r="A42" s="32" t="str">
        <x:f>IF(OR($C$5="",$F$5="",$I$5="",$F$7="",$C$5&lt;0,$F$5&lt;0,$I$5&lt;1,$I$5&gt;36,MOD($I$5,1)&lt;&gt;0,32&gt;$I$5),"",32)</x:f>
      </x:c>
      <x:c r="B42" s="36" t="str">
        <x:f>IF(A42="","",EDATE($F$7,A42-1))</x:f>
      </x:c>
      <x:c r="C42" s="34" t="str">
        <x:f>IF(A42="","",$C$5)</x:f>
      </x:c>
      <x:c r="D42" s="34" t="str">
        <x:f>IF(A42="","",IF(A42=$I$5,$C$5,0))</x:f>
      </x:c>
      <x:c r="E42" s="34" t="str">
        <x:f>IF(A42="","",ROUND(C42*$F$5/12,0))</x:f>
      </x:c>
      <x:c r="F42" s="34" t="str">
        <x:f>IF(A42="","",D42+E42)</x:f>
      </x:c>
      <x:c r="G42" s="22"/>
      <x:c r="H42" s="22"/>
      <x:c r="I42" s="26"/>
      <x:c r="J42" s="20"/>
      <x:c r="K42" s="34" t="str">
        <x:f>IF(OR($C$5="",COUNT(G$11:G42)=0),"",$C$5-SUM(G$11:G42))</x:f>
      </x:c>
    </x:row>
    <x:row r="43" ht="23" customHeight="1">
      <x:c r="A43" s="32" t="str">
        <x:f>IF(OR($C$5="",$F$5="",$I$5="",$F$7="",$C$5&lt;0,$F$5&lt;0,$I$5&lt;1,$I$5&gt;36,MOD($I$5,1)&lt;&gt;0,33&gt;$I$5),"",33)</x:f>
      </x:c>
      <x:c r="B43" s="36" t="str">
        <x:f>IF(A43="","",EDATE($F$7,A43-1))</x:f>
      </x:c>
      <x:c r="C43" s="34" t="str">
        <x:f>IF(A43="","",$C$5)</x:f>
      </x:c>
      <x:c r="D43" s="34" t="str">
        <x:f>IF(A43="","",IF(A43=$I$5,$C$5,0))</x:f>
      </x:c>
      <x:c r="E43" s="34" t="str">
        <x:f>IF(A43="","",ROUND(C43*$F$5/12,0))</x:f>
      </x:c>
      <x:c r="F43" s="34" t="str">
        <x:f>IF(A43="","",D43+E43)</x:f>
      </x:c>
      <x:c r="G43" s="22"/>
      <x:c r="H43" s="22"/>
      <x:c r="I43" s="26"/>
      <x:c r="J43" s="20"/>
      <x:c r="K43" s="34" t="str">
        <x:f>IF(OR($C$5="",COUNT(G$11:G43)=0),"",$C$5-SUM(G$11:G43))</x:f>
      </x:c>
    </x:row>
    <x:row r="44" ht="23" customHeight="1">
      <x:c r="A44" s="32" t="str">
        <x:f>IF(OR($C$5="",$F$5="",$I$5="",$F$7="",$C$5&lt;0,$F$5&lt;0,$I$5&lt;1,$I$5&gt;36,MOD($I$5,1)&lt;&gt;0,34&gt;$I$5),"",34)</x:f>
      </x:c>
      <x:c r="B44" s="36" t="str">
        <x:f>IF(A44="","",EDATE($F$7,A44-1))</x:f>
      </x:c>
      <x:c r="C44" s="34" t="str">
        <x:f>IF(A44="","",$C$5)</x:f>
      </x:c>
      <x:c r="D44" s="34" t="str">
        <x:f>IF(A44="","",IF(A44=$I$5,$C$5,0))</x:f>
      </x:c>
      <x:c r="E44" s="34" t="str">
        <x:f>IF(A44="","",ROUND(C44*$F$5/12,0))</x:f>
      </x:c>
      <x:c r="F44" s="34" t="str">
        <x:f>IF(A44="","",D44+E44)</x:f>
      </x:c>
      <x:c r="G44" s="22"/>
      <x:c r="H44" s="22"/>
      <x:c r="I44" s="26"/>
      <x:c r="J44" s="20"/>
      <x:c r="K44" s="34" t="str">
        <x:f>IF(OR($C$5="",COUNT(G$11:G44)=0),"",$C$5-SUM(G$11:G44))</x:f>
      </x:c>
    </x:row>
    <x:row r="45" ht="23" customHeight="1">
      <x:c r="A45" s="32" t="str">
        <x:f>IF(OR($C$5="",$F$5="",$I$5="",$F$7="",$C$5&lt;0,$F$5&lt;0,$I$5&lt;1,$I$5&gt;36,MOD($I$5,1)&lt;&gt;0,35&gt;$I$5),"",35)</x:f>
      </x:c>
      <x:c r="B45" s="36" t="str">
        <x:f>IF(A45="","",EDATE($F$7,A45-1))</x:f>
      </x:c>
      <x:c r="C45" s="34" t="str">
        <x:f>IF(A45="","",$C$5)</x:f>
      </x:c>
      <x:c r="D45" s="34" t="str">
        <x:f>IF(A45="","",IF(A45=$I$5,$C$5,0))</x:f>
      </x:c>
      <x:c r="E45" s="34" t="str">
        <x:f>IF(A45="","",ROUND(C45*$F$5/12,0))</x:f>
      </x:c>
      <x:c r="F45" s="34" t="str">
        <x:f>IF(A45="","",D45+E45)</x:f>
      </x:c>
      <x:c r="G45" s="22"/>
      <x:c r="H45" s="22"/>
      <x:c r="I45" s="26"/>
      <x:c r="J45" s="20"/>
      <x:c r="K45" s="34" t="str">
        <x:f>IF(OR($C$5="",COUNT(G$11:G45)=0),"",$C$5-SUM(G$11:G45))</x:f>
      </x:c>
    </x:row>
    <x:row r="46" ht="23" customHeight="1">
      <x:c r="A46" s="32" t="str">
        <x:f>IF(OR($C$5="",$F$5="",$I$5="",$F$7="",$C$5&lt;0,$F$5&lt;0,$I$5&lt;1,$I$5&gt;36,MOD($I$5,1)&lt;&gt;0,36&gt;$I$5),"",36)</x:f>
      </x:c>
      <x:c r="B46" s="36" t="str">
        <x:f>IF(A46="","",EDATE($F$7,A46-1))</x:f>
      </x:c>
      <x:c r="C46" s="34" t="str">
        <x:f>IF(A46="","",$C$5)</x:f>
      </x:c>
      <x:c r="D46" s="34" t="str">
        <x:f>IF(A46="","",IF(A46=$I$5,$C$5,0))</x:f>
      </x:c>
      <x:c r="E46" s="34" t="str">
        <x:f>IF(A46="","",ROUND(C46*$F$5/12,0))</x:f>
      </x:c>
      <x:c r="F46" s="34" t="str">
        <x:f>IF(A46="","",D46+E46)</x:f>
      </x:c>
      <x:c r="G46" s="22"/>
      <x:c r="H46" s="22"/>
      <x:c r="I46" s="26"/>
      <x:c r="J46" s="20"/>
      <x:c r="K46" s="34" t="str">
        <x:f>IF(OR($C$5="",COUNT(G$11:G46)=0),"",$C$5-SUM(G$11:G46))</x:f>
      </x:c>
    </x:row>
    <x:row r="47" ht="23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 ht="23" customHeight="1">
      <x:c r="A48" s="6" t="str">
        <x:v>합계</x:v>
      </x:c>
      <x:c r="B48" s="6"/>
      <x:c r="C48" s="6"/>
      <x:c r="D48" s="34" t="str">
        <x:f>IF(COUNT(D11:D46)=0,"",SUM(D11:D46))</x:f>
      </x:c>
      <x:c r="E48" s="34" t="str">
        <x:f>IF(COUNT(E11:E46)=0,"",SUM(E11:E46))</x:f>
      </x:c>
      <x:c r="F48" s="34" t="str">
        <x:f>IF(COUNT(F11:F46)=0,"",SUM(F11:F46))</x:f>
      </x:c>
      <x:c r="G48" s="34" t="str">
        <x:f>IF(COUNT(G11:G46)=0,"",SUM(G11:G46))</x:f>
      </x:c>
      <x:c r="H48" s="34" t="str">
        <x:f>IF(COUNT(H11:H46)=0,"",SUM(H11:H46))</x:f>
      </x:c>
      <x:c r="I48" s="6"/>
      <x:c r="J48" s="6"/>
      <x:c r="K48" s="6"/>
    </x:row>
    <x:row r="49" ht="23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ht="23" customHeight="1">
      <x:c r="A50" s="6" t="str">
        <x:v>실제 지급란은 계획을 자동 복사하지 않습니다. 조기 원금상환·부분월·연체·원천징수 등은 별도 정산하며, 이 파일은 법정 이자·세액 계산기가 아닙니다. 예시의 실제 지급란은 일부러 비워두었습니다.</x:v>
      </x:c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 ht="23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 ht="23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 ht="23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</x:sheetData>
  <x:mergeCells>
    <x:mergeCell ref="A1:K2"/>
    <x:mergeCell ref="A3:K3"/>
    <x:mergeCell ref="A5:B5"/>
    <x:mergeCell ref="D5:E5"/>
    <x:mergeCell ref="G5:H5"/>
    <x:mergeCell ref="A7:B7"/>
    <x:mergeCell ref="D7:E7"/>
    <x:mergeCell ref="A50:K52"/>
    <x:mergeCell ref="G7:K7"/>
  </x:mergeCells>
  <x:dataValidations count="1">
    <x:dataValidation type="list" sqref="I5">
      <x:formula1>"1,2,3,4,5,6,7,8,9,10,11,12,13,14,15,16,17,18,19,20,21,22,23,24,25,26,27,28,29,30,31,32,33,34,35,36"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18" hidden="0" customWidth="1"/>
    <x:col min="5" max="5" width="17" hidden="0" customWidth="1"/>
    <x:col min="6" max="6" width="18" hidden="0" customWidth="1"/>
    <x:col min="7" max="7" width="18" hidden="0" customWidth="1"/>
    <x:col min="8" max="8" width="17" hidden="0" customWidth="1"/>
    <x:col min="9" max="9" width="16" hidden="0" customWidth="1"/>
    <x:col min="10" max="10" width="23" hidden="0" customWidth="1"/>
    <x:col min="11" max="11" width="19" hidden="0" customWidth="1"/>
  </x:cols>
  <x:sheetData>
    <x:row r="1" ht="24" customHeight="1">
      <x:c r="A1" s="9" t="str">
        <x:v>원리금 상환계획 · 이체 확인표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30" customHeight="1">
      <x:c r="A3" s="12" t="str">
        <x:v>가상 약정: 1억원 · 연 3% · 12개월 만기일시 / 실제 지급 여부는 별도 입력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3" customHeight="1">
      <x:c r="A5" s="6" t="str">
        <x:v>대여 원금</x:v>
      </x:c>
      <x:c r="B5" s="6"/>
      <x:c r="C5" s="22" t="n">
        <x:v>100000000</x:v>
      </x:c>
      <x:c r="D5" s="6" t="str">
        <x:v>약정 연이율</x:v>
      </x:c>
      <x:c r="E5" s="6"/>
      <x:c r="F5" s="24" t="n">
        <x:v>0.03</x:v>
      </x:c>
      <x:c r="G5" s="6" t="str">
        <x:v>개월 수 (1~36)</x:v>
      </x:c>
      <x:c r="H5" s="6"/>
      <x:c r="I5" s="20" t="n">
        <x:v>12</x:v>
      </x:c>
      <x:c r="J5" s="6"/>
      <x:c r="K5" s="6"/>
    </x:row>
    <x:row r="6" ht="23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6" t="str">
        <x:v>실제 대여일</x:v>
      </x:c>
      <x:c r="B7" s="6"/>
      <x:c r="C7" s="26" t="n">
        <x:v>46280</x:v>
      </x:c>
      <x:c r="D7" s="6" t="str">
        <x:v>첫 이자 지급일</x:v>
      </x:c>
      <x:c r="E7" s="6"/>
      <x:c r="F7" s="26" t="n">
        <x:v>46310</x:v>
      </x:c>
      <x:c r="G7" s="12" t="str">
        <x:v>월이자만 계산 · 중도/분할상환 시 별도 정산</x:v>
      </x:c>
      <x:c r="H7" s="12"/>
      <x:c r="I7" s="12"/>
      <x:c r="J7" s="12"/>
      <x:c r="K7" s="12"/>
    </x:row>
    <x:row r="8" ht="23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ht="23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</x:row>
    <x:row r="10" ht="34" customHeight="1">
      <x:c r="A10" s="29" t="str">
        <x:v>회차</x:v>
      </x:c>
      <x:c r="B10" s="29" t="str">
        <x:v>예정일</x:v>
      </x:c>
      <x:c r="C10" s="29" t="str">
        <x:v>계획 기초원금</x:v>
      </x:c>
      <x:c r="D10" s="29" t="str">
        <x:v>원금 예정액</x:v>
      </x:c>
      <x:c r="E10" s="29" t="str">
        <x:v>이자 예정액</x:v>
      </x:c>
      <x:c r="F10" s="29" t="str">
        <x:v>예정 합계</x:v>
      </x:c>
      <x:c r="G10" s="29" t="str">
        <x:v>실제 원금</x:v>
      </x:c>
      <x:c r="H10" s="29" t="str">
        <x:v>실제 이자</x:v>
      </x:c>
      <x:c r="I10" s="29" t="str">
        <x:v>실제 지급일</x:v>
      </x:c>
      <x:c r="J10" s="29" t="str">
        <x:v>증빙·비고</x:v>
      </x:c>
      <x:c r="K10" s="29" t="str">
        <x:v>입력 후 원금잔액</x:v>
      </x:c>
    </x:row>
    <x:row r="11" ht="23" customHeight="1">
      <x:c r="A11" s="32" t="n">
        <x:f>IF(OR($C$5="",$F$5="",$I$5="",$F$7="",$C$5&lt;0,$F$5&lt;0,$I$5&lt;1,$I$5&gt;36,MOD($I$5,1)&lt;&gt;0,1&gt;$I$5),"",1)</x:f>
        <x:v>1</x:v>
      </x:c>
      <x:c r="B11" s="36" t="n">
        <x:f>IF(A11="","",EDATE($F$7,A11-1))</x:f>
        <x:v>46310</x:v>
      </x:c>
      <x:c r="C11" s="34" t="n">
        <x:f>IF(A11="","",$C$5)</x:f>
        <x:v>100000000</x:v>
      </x:c>
      <x:c r="D11" s="34" t="n">
        <x:f>IF(A11="","",IF(A11=$I$5,$C$5,0))</x:f>
        <x:v>0</x:v>
      </x:c>
      <x:c r="E11" s="34" t="n">
        <x:f>IF(A11="","",ROUND(C11*$F$5/12,0))</x:f>
        <x:v>250000</x:v>
      </x:c>
      <x:c r="F11" s="34" t="n">
        <x:f>IF(A11="","",D11+E11)</x:f>
        <x:v>250000</x:v>
      </x:c>
      <x:c r="G11" s="22"/>
      <x:c r="H11" s="22"/>
      <x:c r="I11" s="26"/>
      <x:c r="J11" s="20"/>
      <x:c r="K11" s="34" t="str">
        <x:f>IF(OR($C$5="",COUNT(G$11:G11)=0),"",$C$5-SUM(G$11:G11))</x:f>
      </x:c>
    </x:row>
    <x:row r="12" ht="23" customHeight="1">
      <x:c r="A12" s="32" t="n">
        <x:f>IF(OR($C$5="",$F$5="",$I$5="",$F$7="",$C$5&lt;0,$F$5&lt;0,$I$5&lt;1,$I$5&gt;36,MOD($I$5,1)&lt;&gt;0,2&gt;$I$5),"",2)</x:f>
        <x:v>2</x:v>
      </x:c>
      <x:c r="B12" s="36" t="n">
        <x:f>IF(A12="","",EDATE($F$7,A12-1))</x:f>
        <x:v>46341</x:v>
      </x:c>
      <x:c r="C12" s="34" t="n">
        <x:f>IF(A12="","",$C$5)</x:f>
        <x:v>100000000</x:v>
      </x:c>
      <x:c r="D12" s="34" t="n">
        <x:f>IF(A12="","",IF(A12=$I$5,$C$5,0))</x:f>
        <x:v>0</x:v>
      </x:c>
      <x:c r="E12" s="34" t="n">
        <x:f>IF(A12="","",ROUND(C12*$F$5/12,0))</x:f>
        <x:v>250000</x:v>
      </x:c>
      <x:c r="F12" s="34" t="n">
        <x:f>IF(A12="","",D12+E12)</x:f>
        <x:v>250000</x:v>
      </x:c>
      <x:c r="G12" s="22"/>
      <x:c r="H12" s="22"/>
      <x:c r="I12" s="26"/>
      <x:c r="J12" s="20"/>
      <x:c r="K12" s="34" t="str">
        <x:f>IF(OR($C$5="",COUNT(G$11:G12)=0),"",$C$5-SUM(G$11:G12))</x:f>
      </x:c>
    </x:row>
    <x:row r="13" ht="23" customHeight="1">
      <x:c r="A13" s="32" t="n">
        <x:f>IF(OR($C$5="",$F$5="",$I$5="",$F$7="",$C$5&lt;0,$F$5&lt;0,$I$5&lt;1,$I$5&gt;36,MOD($I$5,1)&lt;&gt;0,3&gt;$I$5),"",3)</x:f>
        <x:v>3</x:v>
      </x:c>
      <x:c r="B13" s="36" t="n">
        <x:f>IF(A13="","",EDATE($F$7,A13-1))</x:f>
        <x:v>46371</x:v>
      </x:c>
      <x:c r="C13" s="34" t="n">
        <x:f>IF(A13="","",$C$5)</x:f>
        <x:v>100000000</x:v>
      </x:c>
      <x:c r="D13" s="34" t="n">
        <x:f>IF(A13="","",IF(A13=$I$5,$C$5,0))</x:f>
        <x:v>0</x:v>
      </x:c>
      <x:c r="E13" s="34" t="n">
        <x:f>IF(A13="","",ROUND(C13*$F$5/12,0))</x:f>
        <x:v>250000</x:v>
      </x:c>
      <x:c r="F13" s="34" t="n">
        <x:f>IF(A13="","",D13+E13)</x:f>
        <x:v>250000</x:v>
      </x:c>
      <x:c r="G13" s="22"/>
      <x:c r="H13" s="22"/>
      <x:c r="I13" s="26"/>
      <x:c r="J13" s="20"/>
      <x:c r="K13" s="34" t="str">
        <x:f>IF(OR($C$5="",COUNT(G$11:G13)=0),"",$C$5-SUM(G$11:G13))</x:f>
      </x:c>
    </x:row>
    <x:row r="14" ht="23" customHeight="1">
      <x:c r="A14" s="32" t="n">
        <x:f>IF(OR($C$5="",$F$5="",$I$5="",$F$7="",$C$5&lt;0,$F$5&lt;0,$I$5&lt;1,$I$5&gt;36,MOD($I$5,1)&lt;&gt;0,4&gt;$I$5),"",4)</x:f>
        <x:v>4</x:v>
      </x:c>
      <x:c r="B14" s="36" t="n">
        <x:f>IF(A14="","",EDATE($F$7,A14-1))</x:f>
        <x:v>46402</x:v>
      </x:c>
      <x:c r="C14" s="34" t="n">
        <x:f>IF(A14="","",$C$5)</x:f>
        <x:v>100000000</x:v>
      </x:c>
      <x:c r="D14" s="34" t="n">
        <x:f>IF(A14="","",IF(A14=$I$5,$C$5,0))</x:f>
        <x:v>0</x:v>
      </x:c>
      <x:c r="E14" s="34" t="n">
        <x:f>IF(A14="","",ROUND(C14*$F$5/12,0))</x:f>
        <x:v>250000</x:v>
      </x:c>
      <x:c r="F14" s="34" t="n">
        <x:f>IF(A14="","",D14+E14)</x:f>
        <x:v>250000</x:v>
      </x:c>
      <x:c r="G14" s="22"/>
      <x:c r="H14" s="22"/>
      <x:c r="I14" s="26"/>
      <x:c r="J14" s="20"/>
      <x:c r="K14" s="34" t="str">
        <x:f>IF(OR($C$5="",COUNT(G$11:G14)=0),"",$C$5-SUM(G$11:G14))</x:f>
      </x:c>
    </x:row>
    <x:row r="15" ht="23" customHeight="1">
      <x:c r="A15" s="32" t="n">
        <x:f>IF(OR($C$5="",$F$5="",$I$5="",$F$7="",$C$5&lt;0,$F$5&lt;0,$I$5&lt;1,$I$5&gt;36,MOD($I$5,1)&lt;&gt;0,5&gt;$I$5),"",5)</x:f>
        <x:v>5</x:v>
      </x:c>
      <x:c r="B15" s="36" t="n">
        <x:f>IF(A15="","",EDATE($F$7,A15-1))</x:f>
        <x:v>46433</x:v>
      </x:c>
      <x:c r="C15" s="34" t="n">
        <x:f>IF(A15="","",$C$5)</x:f>
        <x:v>100000000</x:v>
      </x:c>
      <x:c r="D15" s="34" t="n">
        <x:f>IF(A15="","",IF(A15=$I$5,$C$5,0))</x:f>
        <x:v>0</x:v>
      </x:c>
      <x:c r="E15" s="34" t="n">
        <x:f>IF(A15="","",ROUND(C15*$F$5/12,0))</x:f>
        <x:v>250000</x:v>
      </x:c>
      <x:c r="F15" s="34" t="n">
        <x:f>IF(A15="","",D15+E15)</x:f>
        <x:v>250000</x:v>
      </x:c>
      <x:c r="G15" s="22"/>
      <x:c r="H15" s="22"/>
      <x:c r="I15" s="26"/>
      <x:c r="J15" s="20"/>
      <x:c r="K15" s="34" t="str">
        <x:f>IF(OR($C$5="",COUNT(G$11:G15)=0),"",$C$5-SUM(G$11:G15))</x:f>
      </x:c>
    </x:row>
    <x:row r="16" ht="23" customHeight="1">
      <x:c r="A16" s="32" t="n">
        <x:f>IF(OR($C$5="",$F$5="",$I$5="",$F$7="",$C$5&lt;0,$F$5&lt;0,$I$5&lt;1,$I$5&gt;36,MOD($I$5,1)&lt;&gt;0,6&gt;$I$5),"",6)</x:f>
        <x:v>6</x:v>
      </x:c>
      <x:c r="B16" s="36" t="n">
        <x:f>IF(A16="","",EDATE($F$7,A16-1))</x:f>
        <x:v>46461</x:v>
      </x:c>
      <x:c r="C16" s="34" t="n">
        <x:f>IF(A16="","",$C$5)</x:f>
        <x:v>100000000</x:v>
      </x:c>
      <x:c r="D16" s="34" t="n">
        <x:f>IF(A16="","",IF(A16=$I$5,$C$5,0))</x:f>
        <x:v>0</x:v>
      </x:c>
      <x:c r="E16" s="34" t="n">
        <x:f>IF(A16="","",ROUND(C16*$F$5/12,0))</x:f>
        <x:v>250000</x:v>
      </x:c>
      <x:c r="F16" s="34" t="n">
        <x:f>IF(A16="","",D16+E16)</x:f>
        <x:v>250000</x:v>
      </x:c>
      <x:c r="G16" s="22"/>
      <x:c r="H16" s="22"/>
      <x:c r="I16" s="26"/>
      <x:c r="J16" s="20"/>
      <x:c r="K16" s="34" t="str">
        <x:f>IF(OR($C$5="",COUNT(G$11:G16)=0),"",$C$5-SUM(G$11:G16))</x:f>
      </x:c>
    </x:row>
    <x:row r="17" ht="23" customHeight="1">
      <x:c r="A17" s="32" t="n">
        <x:f>IF(OR($C$5="",$F$5="",$I$5="",$F$7="",$C$5&lt;0,$F$5&lt;0,$I$5&lt;1,$I$5&gt;36,MOD($I$5,1)&lt;&gt;0,7&gt;$I$5),"",7)</x:f>
        <x:v>7</x:v>
      </x:c>
      <x:c r="B17" s="36" t="n">
        <x:f>IF(A17="","",EDATE($F$7,A17-1))</x:f>
        <x:v>46492</x:v>
      </x:c>
      <x:c r="C17" s="34" t="n">
        <x:f>IF(A17="","",$C$5)</x:f>
        <x:v>100000000</x:v>
      </x:c>
      <x:c r="D17" s="34" t="n">
        <x:f>IF(A17="","",IF(A17=$I$5,$C$5,0))</x:f>
        <x:v>0</x:v>
      </x:c>
      <x:c r="E17" s="34" t="n">
        <x:f>IF(A17="","",ROUND(C17*$F$5/12,0))</x:f>
        <x:v>250000</x:v>
      </x:c>
      <x:c r="F17" s="34" t="n">
        <x:f>IF(A17="","",D17+E17)</x:f>
        <x:v>250000</x:v>
      </x:c>
      <x:c r="G17" s="22"/>
      <x:c r="H17" s="22"/>
      <x:c r="I17" s="26"/>
      <x:c r="J17" s="20"/>
      <x:c r="K17" s="34" t="str">
        <x:f>IF(OR($C$5="",COUNT(G$11:G17)=0),"",$C$5-SUM(G$11:G17))</x:f>
      </x:c>
    </x:row>
    <x:row r="18" ht="23" customHeight="1">
      <x:c r="A18" s="32" t="n">
        <x:f>IF(OR($C$5="",$F$5="",$I$5="",$F$7="",$C$5&lt;0,$F$5&lt;0,$I$5&lt;1,$I$5&gt;36,MOD($I$5,1)&lt;&gt;0,8&gt;$I$5),"",8)</x:f>
        <x:v>8</x:v>
      </x:c>
      <x:c r="B18" s="36" t="n">
        <x:f>IF(A18="","",EDATE($F$7,A18-1))</x:f>
        <x:v>46522</x:v>
      </x:c>
      <x:c r="C18" s="34" t="n">
        <x:f>IF(A18="","",$C$5)</x:f>
        <x:v>100000000</x:v>
      </x:c>
      <x:c r="D18" s="34" t="n">
        <x:f>IF(A18="","",IF(A18=$I$5,$C$5,0))</x:f>
        <x:v>0</x:v>
      </x:c>
      <x:c r="E18" s="34" t="n">
        <x:f>IF(A18="","",ROUND(C18*$F$5/12,0))</x:f>
        <x:v>250000</x:v>
      </x:c>
      <x:c r="F18" s="34" t="n">
        <x:f>IF(A18="","",D18+E18)</x:f>
        <x:v>250000</x:v>
      </x:c>
      <x:c r="G18" s="22"/>
      <x:c r="H18" s="22"/>
      <x:c r="I18" s="26"/>
      <x:c r="J18" s="20"/>
      <x:c r="K18" s="34" t="str">
        <x:f>IF(OR($C$5="",COUNT(G$11:G18)=0),"",$C$5-SUM(G$11:G18))</x:f>
      </x:c>
    </x:row>
    <x:row r="19" ht="23" customHeight="1">
      <x:c r="A19" s="32" t="n">
        <x:f>IF(OR($C$5="",$F$5="",$I$5="",$F$7="",$C$5&lt;0,$F$5&lt;0,$I$5&lt;1,$I$5&gt;36,MOD($I$5,1)&lt;&gt;0,9&gt;$I$5),"",9)</x:f>
        <x:v>9</x:v>
      </x:c>
      <x:c r="B19" s="36" t="n">
        <x:f>IF(A19="","",EDATE($F$7,A19-1))</x:f>
        <x:v>46553</x:v>
      </x:c>
      <x:c r="C19" s="34" t="n">
        <x:f>IF(A19="","",$C$5)</x:f>
        <x:v>100000000</x:v>
      </x:c>
      <x:c r="D19" s="34" t="n">
        <x:f>IF(A19="","",IF(A19=$I$5,$C$5,0))</x:f>
        <x:v>0</x:v>
      </x:c>
      <x:c r="E19" s="34" t="n">
        <x:f>IF(A19="","",ROUND(C19*$F$5/12,0))</x:f>
        <x:v>250000</x:v>
      </x:c>
      <x:c r="F19" s="34" t="n">
        <x:f>IF(A19="","",D19+E19)</x:f>
        <x:v>250000</x:v>
      </x:c>
      <x:c r="G19" s="22"/>
      <x:c r="H19" s="22"/>
      <x:c r="I19" s="26"/>
      <x:c r="J19" s="20"/>
      <x:c r="K19" s="34" t="str">
        <x:f>IF(OR($C$5="",COUNT(G$11:G19)=0),"",$C$5-SUM(G$11:G19))</x:f>
      </x:c>
    </x:row>
    <x:row r="20" ht="23" customHeight="1">
      <x:c r="A20" s="32" t="n">
        <x:f>IF(OR($C$5="",$F$5="",$I$5="",$F$7="",$C$5&lt;0,$F$5&lt;0,$I$5&lt;1,$I$5&gt;36,MOD($I$5,1)&lt;&gt;0,10&gt;$I$5),"",10)</x:f>
        <x:v>10</x:v>
      </x:c>
      <x:c r="B20" s="36" t="n">
        <x:f>IF(A20="","",EDATE($F$7,A20-1))</x:f>
        <x:v>46583</x:v>
      </x:c>
      <x:c r="C20" s="34" t="n">
        <x:f>IF(A20="","",$C$5)</x:f>
        <x:v>100000000</x:v>
      </x:c>
      <x:c r="D20" s="34" t="n">
        <x:f>IF(A20="","",IF(A20=$I$5,$C$5,0))</x:f>
        <x:v>0</x:v>
      </x:c>
      <x:c r="E20" s="34" t="n">
        <x:f>IF(A20="","",ROUND(C20*$F$5/12,0))</x:f>
        <x:v>250000</x:v>
      </x:c>
      <x:c r="F20" s="34" t="n">
        <x:f>IF(A20="","",D20+E20)</x:f>
        <x:v>250000</x:v>
      </x:c>
      <x:c r="G20" s="22"/>
      <x:c r="H20" s="22"/>
      <x:c r="I20" s="26"/>
      <x:c r="J20" s="20"/>
      <x:c r="K20" s="34" t="str">
        <x:f>IF(OR($C$5="",COUNT(G$11:G20)=0),"",$C$5-SUM(G$11:G20))</x:f>
      </x:c>
    </x:row>
    <x:row r="21" ht="23" customHeight="1">
      <x:c r="A21" s="32" t="n">
        <x:f>IF(OR($C$5="",$F$5="",$I$5="",$F$7="",$C$5&lt;0,$F$5&lt;0,$I$5&lt;1,$I$5&gt;36,MOD($I$5,1)&lt;&gt;0,11&gt;$I$5),"",11)</x:f>
        <x:v>11</x:v>
      </x:c>
      <x:c r="B21" s="36" t="n">
        <x:f>IF(A21="","",EDATE($F$7,A21-1))</x:f>
        <x:v>46614</x:v>
      </x:c>
      <x:c r="C21" s="34" t="n">
        <x:f>IF(A21="","",$C$5)</x:f>
        <x:v>100000000</x:v>
      </x:c>
      <x:c r="D21" s="34" t="n">
        <x:f>IF(A21="","",IF(A21=$I$5,$C$5,0))</x:f>
        <x:v>0</x:v>
      </x:c>
      <x:c r="E21" s="34" t="n">
        <x:f>IF(A21="","",ROUND(C21*$F$5/12,0))</x:f>
        <x:v>250000</x:v>
      </x:c>
      <x:c r="F21" s="34" t="n">
        <x:f>IF(A21="","",D21+E21)</x:f>
        <x:v>250000</x:v>
      </x:c>
      <x:c r="G21" s="22"/>
      <x:c r="H21" s="22"/>
      <x:c r="I21" s="26"/>
      <x:c r="J21" s="20"/>
      <x:c r="K21" s="34" t="str">
        <x:f>IF(OR($C$5="",COUNT(G$11:G21)=0),"",$C$5-SUM(G$11:G21))</x:f>
      </x:c>
    </x:row>
    <x:row r="22" ht="23" customHeight="1">
      <x:c r="A22" s="32" t="n">
        <x:f>IF(OR($C$5="",$F$5="",$I$5="",$F$7="",$C$5&lt;0,$F$5&lt;0,$I$5&lt;1,$I$5&gt;36,MOD($I$5,1)&lt;&gt;0,12&gt;$I$5),"",12)</x:f>
        <x:v>12</x:v>
      </x:c>
      <x:c r="B22" s="36" t="n">
        <x:f>IF(A22="","",EDATE($F$7,A22-1))</x:f>
        <x:v>46645</x:v>
      </x:c>
      <x:c r="C22" s="34" t="n">
        <x:f>IF(A22="","",$C$5)</x:f>
        <x:v>100000000</x:v>
      </x:c>
      <x:c r="D22" s="34" t="n">
        <x:f>IF(A22="","",IF(A22=$I$5,$C$5,0))</x:f>
        <x:v>100000000</x:v>
      </x:c>
      <x:c r="E22" s="34" t="n">
        <x:f>IF(A22="","",ROUND(C22*$F$5/12,0))</x:f>
        <x:v>250000</x:v>
      </x:c>
      <x:c r="F22" s="34" t="n">
        <x:f>IF(A22="","",D22+E22)</x:f>
        <x:v>100250000</x:v>
      </x:c>
      <x:c r="G22" s="22"/>
      <x:c r="H22" s="22"/>
      <x:c r="I22" s="26"/>
      <x:c r="J22" s="20"/>
      <x:c r="K22" s="34" t="str">
        <x:f>IF(OR($C$5="",COUNT(G$11:G22)=0),"",$C$5-SUM(G$11:G22))</x:f>
      </x:c>
    </x:row>
    <x:row r="23" ht="23" customHeight="1">
      <x:c r="A23" s="32" t="str">
        <x:f>IF(OR($C$5="",$F$5="",$I$5="",$F$7="",$C$5&lt;0,$F$5&lt;0,$I$5&lt;1,$I$5&gt;36,MOD($I$5,1)&lt;&gt;0,13&gt;$I$5),"",13)</x:f>
      </x:c>
      <x:c r="B23" s="36" t="str">
        <x:f>IF(A23="","",EDATE($F$7,A23-1))</x:f>
      </x:c>
      <x:c r="C23" s="34" t="str">
        <x:f>IF(A23="","",$C$5)</x:f>
      </x:c>
      <x:c r="D23" s="34" t="str">
        <x:f>IF(A23="","",IF(A23=$I$5,$C$5,0))</x:f>
      </x:c>
      <x:c r="E23" s="34" t="str">
        <x:f>IF(A23="","",ROUND(C23*$F$5/12,0))</x:f>
      </x:c>
      <x:c r="F23" s="34" t="str">
        <x:f>IF(A23="","",D23+E23)</x:f>
      </x:c>
      <x:c r="G23" s="22"/>
      <x:c r="H23" s="22"/>
      <x:c r="I23" s="26"/>
      <x:c r="J23" s="20"/>
      <x:c r="K23" s="34" t="str">
        <x:f>IF(OR($C$5="",COUNT(G$11:G23)=0),"",$C$5-SUM(G$11:G23))</x:f>
      </x:c>
    </x:row>
    <x:row r="24" ht="23" customHeight="1">
      <x:c r="A24" s="32" t="str">
        <x:f>IF(OR($C$5="",$F$5="",$I$5="",$F$7="",$C$5&lt;0,$F$5&lt;0,$I$5&lt;1,$I$5&gt;36,MOD($I$5,1)&lt;&gt;0,14&gt;$I$5),"",14)</x:f>
      </x:c>
      <x:c r="B24" s="36" t="str">
        <x:f>IF(A24="","",EDATE($F$7,A24-1))</x:f>
      </x:c>
      <x:c r="C24" s="34" t="str">
        <x:f>IF(A24="","",$C$5)</x:f>
      </x:c>
      <x:c r="D24" s="34" t="str">
        <x:f>IF(A24="","",IF(A24=$I$5,$C$5,0))</x:f>
      </x:c>
      <x:c r="E24" s="34" t="str">
        <x:f>IF(A24="","",ROUND(C24*$F$5/12,0))</x:f>
      </x:c>
      <x:c r="F24" s="34" t="str">
        <x:f>IF(A24="","",D24+E24)</x:f>
      </x:c>
      <x:c r="G24" s="22"/>
      <x:c r="H24" s="22"/>
      <x:c r="I24" s="26"/>
      <x:c r="J24" s="20"/>
      <x:c r="K24" s="34" t="str">
        <x:f>IF(OR($C$5="",COUNT(G$11:G24)=0),"",$C$5-SUM(G$11:G24))</x:f>
      </x:c>
    </x:row>
    <x:row r="25" ht="23" customHeight="1">
      <x:c r="A25" s="32" t="str">
        <x:f>IF(OR($C$5="",$F$5="",$I$5="",$F$7="",$C$5&lt;0,$F$5&lt;0,$I$5&lt;1,$I$5&gt;36,MOD($I$5,1)&lt;&gt;0,15&gt;$I$5),"",15)</x:f>
      </x:c>
      <x:c r="B25" s="36" t="str">
        <x:f>IF(A25="","",EDATE($F$7,A25-1))</x:f>
      </x:c>
      <x:c r="C25" s="34" t="str">
        <x:f>IF(A25="","",$C$5)</x:f>
      </x:c>
      <x:c r="D25" s="34" t="str">
        <x:f>IF(A25="","",IF(A25=$I$5,$C$5,0))</x:f>
      </x:c>
      <x:c r="E25" s="34" t="str">
        <x:f>IF(A25="","",ROUND(C25*$F$5/12,0))</x:f>
      </x:c>
      <x:c r="F25" s="34" t="str">
        <x:f>IF(A25="","",D25+E25)</x:f>
      </x:c>
      <x:c r="G25" s="22"/>
      <x:c r="H25" s="22"/>
      <x:c r="I25" s="26"/>
      <x:c r="J25" s="20"/>
      <x:c r="K25" s="34" t="str">
        <x:f>IF(OR($C$5="",COUNT(G$11:G25)=0),"",$C$5-SUM(G$11:G25))</x:f>
      </x:c>
    </x:row>
    <x:row r="26" ht="23" customHeight="1">
      <x:c r="A26" s="32" t="str">
        <x:f>IF(OR($C$5="",$F$5="",$I$5="",$F$7="",$C$5&lt;0,$F$5&lt;0,$I$5&lt;1,$I$5&gt;36,MOD($I$5,1)&lt;&gt;0,16&gt;$I$5),"",16)</x:f>
      </x:c>
      <x:c r="B26" s="36" t="str">
        <x:f>IF(A26="","",EDATE($F$7,A26-1))</x:f>
      </x:c>
      <x:c r="C26" s="34" t="str">
        <x:f>IF(A26="","",$C$5)</x:f>
      </x:c>
      <x:c r="D26" s="34" t="str">
        <x:f>IF(A26="","",IF(A26=$I$5,$C$5,0))</x:f>
      </x:c>
      <x:c r="E26" s="34" t="str">
        <x:f>IF(A26="","",ROUND(C26*$F$5/12,0))</x:f>
      </x:c>
      <x:c r="F26" s="34" t="str">
        <x:f>IF(A26="","",D26+E26)</x:f>
      </x:c>
      <x:c r="G26" s="22"/>
      <x:c r="H26" s="22"/>
      <x:c r="I26" s="26"/>
      <x:c r="J26" s="20"/>
      <x:c r="K26" s="34" t="str">
        <x:f>IF(OR($C$5="",COUNT(G$11:G26)=0),"",$C$5-SUM(G$11:G26))</x:f>
      </x:c>
    </x:row>
    <x:row r="27" ht="23" customHeight="1">
      <x:c r="A27" s="32" t="str">
        <x:f>IF(OR($C$5="",$F$5="",$I$5="",$F$7="",$C$5&lt;0,$F$5&lt;0,$I$5&lt;1,$I$5&gt;36,MOD($I$5,1)&lt;&gt;0,17&gt;$I$5),"",17)</x:f>
      </x:c>
      <x:c r="B27" s="36" t="str">
        <x:f>IF(A27="","",EDATE($F$7,A27-1))</x:f>
      </x:c>
      <x:c r="C27" s="34" t="str">
        <x:f>IF(A27="","",$C$5)</x:f>
      </x:c>
      <x:c r="D27" s="34" t="str">
        <x:f>IF(A27="","",IF(A27=$I$5,$C$5,0))</x:f>
      </x:c>
      <x:c r="E27" s="34" t="str">
        <x:f>IF(A27="","",ROUND(C27*$F$5/12,0))</x:f>
      </x:c>
      <x:c r="F27" s="34" t="str">
        <x:f>IF(A27="","",D27+E27)</x:f>
      </x:c>
      <x:c r="G27" s="22"/>
      <x:c r="H27" s="22"/>
      <x:c r="I27" s="26"/>
      <x:c r="J27" s="20"/>
      <x:c r="K27" s="34" t="str">
        <x:f>IF(OR($C$5="",COUNT(G$11:G27)=0),"",$C$5-SUM(G$11:G27))</x:f>
      </x:c>
    </x:row>
    <x:row r="28" ht="23" customHeight="1">
      <x:c r="A28" s="32" t="str">
        <x:f>IF(OR($C$5="",$F$5="",$I$5="",$F$7="",$C$5&lt;0,$F$5&lt;0,$I$5&lt;1,$I$5&gt;36,MOD($I$5,1)&lt;&gt;0,18&gt;$I$5),"",18)</x:f>
      </x:c>
      <x:c r="B28" s="36" t="str">
        <x:f>IF(A28="","",EDATE($F$7,A28-1))</x:f>
      </x:c>
      <x:c r="C28" s="34" t="str">
        <x:f>IF(A28="","",$C$5)</x:f>
      </x:c>
      <x:c r="D28" s="34" t="str">
        <x:f>IF(A28="","",IF(A28=$I$5,$C$5,0))</x:f>
      </x:c>
      <x:c r="E28" s="34" t="str">
        <x:f>IF(A28="","",ROUND(C28*$F$5/12,0))</x:f>
      </x:c>
      <x:c r="F28" s="34" t="str">
        <x:f>IF(A28="","",D28+E28)</x:f>
      </x:c>
      <x:c r="G28" s="22"/>
      <x:c r="H28" s="22"/>
      <x:c r="I28" s="26"/>
      <x:c r="J28" s="20"/>
      <x:c r="K28" s="34" t="str">
        <x:f>IF(OR($C$5="",COUNT(G$11:G28)=0),"",$C$5-SUM(G$11:G28))</x:f>
      </x:c>
    </x:row>
    <x:row r="29" ht="23" customHeight="1">
      <x:c r="A29" s="32" t="str">
        <x:f>IF(OR($C$5="",$F$5="",$I$5="",$F$7="",$C$5&lt;0,$F$5&lt;0,$I$5&lt;1,$I$5&gt;36,MOD($I$5,1)&lt;&gt;0,19&gt;$I$5),"",19)</x:f>
      </x:c>
      <x:c r="B29" s="36" t="str">
        <x:f>IF(A29="","",EDATE($F$7,A29-1))</x:f>
      </x:c>
      <x:c r="C29" s="34" t="str">
        <x:f>IF(A29="","",$C$5)</x:f>
      </x:c>
      <x:c r="D29" s="34" t="str">
        <x:f>IF(A29="","",IF(A29=$I$5,$C$5,0))</x:f>
      </x:c>
      <x:c r="E29" s="34" t="str">
        <x:f>IF(A29="","",ROUND(C29*$F$5/12,0))</x:f>
      </x:c>
      <x:c r="F29" s="34" t="str">
        <x:f>IF(A29="","",D29+E29)</x:f>
      </x:c>
      <x:c r="G29" s="22"/>
      <x:c r="H29" s="22"/>
      <x:c r="I29" s="26"/>
      <x:c r="J29" s="20"/>
      <x:c r="K29" s="34" t="str">
        <x:f>IF(OR($C$5="",COUNT(G$11:G29)=0),"",$C$5-SUM(G$11:G29))</x:f>
      </x:c>
    </x:row>
    <x:row r="30" ht="23" customHeight="1">
      <x:c r="A30" s="32" t="str">
        <x:f>IF(OR($C$5="",$F$5="",$I$5="",$F$7="",$C$5&lt;0,$F$5&lt;0,$I$5&lt;1,$I$5&gt;36,MOD($I$5,1)&lt;&gt;0,20&gt;$I$5),"",20)</x:f>
      </x:c>
      <x:c r="B30" s="36" t="str">
        <x:f>IF(A30="","",EDATE($F$7,A30-1))</x:f>
      </x:c>
      <x:c r="C30" s="34" t="str">
        <x:f>IF(A30="","",$C$5)</x:f>
      </x:c>
      <x:c r="D30" s="34" t="str">
        <x:f>IF(A30="","",IF(A30=$I$5,$C$5,0))</x:f>
      </x:c>
      <x:c r="E30" s="34" t="str">
        <x:f>IF(A30="","",ROUND(C30*$F$5/12,0))</x:f>
      </x:c>
      <x:c r="F30" s="34" t="str">
        <x:f>IF(A30="","",D30+E30)</x:f>
      </x:c>
      <x:c r="G30" s="22"/>
      <x:c r="H30" s="22"/>
      <x:c r="I30" s="26"/>
      <x:c r="J30" s="20"/>
      <x:c r="K30" s="34" t="str">
        <x:f>IF(OR($C$5="",COUNT(G$11:G30)=0),"",$C$5-SUM(G$11:G30))</x:f>
      </x:c>
    </x:row>
    <x:row r="31" ht="23" customHeight="1">
      <x:c r="A31" s="32" t="str">
        <x:f>IF(OR($C$5="",$F$5="",$I$5="",$F$7="",$C$5&lt;0,$F$5&lt;0,$I$5&lt;1,$I$5&gt;36,MOD($I$5,1)&lt;&gt;0,21&gt;$I$5),"",21)</x:f>
      </x:c>
      <x:c r="B31" s="36" t="str">
        <x:f>IF(A31="","",EDATE($F$7,A31-1))</x:f>
      </x:c>
      <x:c r="C31" s="34" t="str">
        <x:f>IF(A31="","",$C$5)</x:f>
      </x:c>
      <x:c r="D31" s="34" t="str">
        <x:f>IF(A31="","",IF(A31=$I$5,$C$5,0))</x:f>
      </x:c>
      <x:c r="E31" s="34" t="str">
        <x:f>IF(A31="","",ROUND(C31*$F$5/12,0))</x:f>
      </x:c>
      <x:c r="F31" s="34" t="str">
        <x:f>IF(A31="","",D31+E31)</x:f>
      </x:c>
      <x:c r="G31" s="22"/>
      <x:c r="H31" s="22"/>
      <x:c r="I31" s="26"/>
      <x:c r="J31" s="20"/>
      <x:c r="K31" s="34" t="str">
        <x:f>IF(OR($C$5="",COUNT(G$11:G31)=0),"",$C$5-SUM(G$11:G31))</x:f>
      </x:c>
    </x:row>
    <x:row r="32" ht="23" customHeight="1">
      <x:c r="A32" s="32" t="str">
        <x:f>IF(OR($C$5="",$F$5="",$I$5="",$F$7="",$C$5&lt;0,$F$5&lt;0,$I$5&lt;1,$I$5&gt;36,MOD($I$5,1)&lt;&gt;0,22&gt;$I$5),"",22)</x:f>
      </x:c>
      <x:c r="B32" s="36" t="str">
        <x:f>IF(A32="","",EDATE($F$7,A32-1))</x:f>
      </x:c>
      <x:c r="C32" s="34" t="str">
        <x:f>IF(A32="","",$C$5)</x:f>
      </x:c>
      <x:c r="D32" s="34" t="str">
        <x:f>IF(A32="","",IF(A32=$I$5,$C$5,0))</x:f>
      </x:c>
      <x:c r="E32" s="34" t="str">
        <x:f>IF(A32="","",ROUND(C32*$F$5/12,0))</x:f>
      </x:c>
      <x:c r="F32" s="34" t="str">
        <x:f>IF(A32="","",D32+E32)</x:f>
      </x:c>
      <x:c r="G32" s="22"/>
      <x:c r="H32" s="22"/>
      <x:c r="I32" s="26"/>
      <x:c r="J32" s="20"/>
      <x:c r="K32" s="34" t="str">
        <x:f>IF(OR($C$5="",COUNT(G$11:G32)=0),"",$C$5-SUM(G$11:G32))</x:f>
      </x:c>
    </x:row>
    <x:row r="33" ht="23" customHeight="1">
      <x:c r="A33" s="32" t="str">
        <x:f>IF(OR($C$5="",$F$5="",$I$5="",$F$7="",$C$5&lt;0,$F$5&lt;0,$I$5&lt;1,$I$5&gt;36,MOD($I$5,1)&lt;&gt;0,23&gt;$I$5),"",23)</x:f>
      </x:c>
      <x:c r="B33" s="36" t="str">
        <x:f>IF(A33="","",EDATE($F$7,A33-1))</x:f>
      </x:c>
      <x:c r="C33" s="34" t="str">
        <x:f>IF(A33="","",$C$5)</x:f>
      </x:c>
      <x:c r="D33" s="34" t="str">
        <x:f>IF(A33="","",IF(A33=$I$5,$C$5,0))</x:f>
      </x:c>
      <x:c r="E33" s="34" t="str">
        <x:f>IF(A33="","",ROUND(C33*$F$5/12,0))</x:f>
      </x:c>
      <x:c r="F33" s="34" t="str">
        <x:f>IF(A33="","",D33+E33)</x:f>
      </x:c>
      <x:c r="G33" s="22"/>
      <x:c r="H33" s="22"/>
      <x:c r="I33" s="26"/>
      <x:c r="J33" s="20"/>
      <x:c r="K33" s="34" t="str">
        <x:f>IF(OR($C$5="",COUNT(G$11:G33)=0),"",$C$5-SUM(G$11:G33))</x:f>
      </x:c>
    </x:row>
    <x:row r="34" ht="23" customHeight="1">
      <x:c r="A34" s="32" t="str">
        <x:f>IF(OR($C$5="",$F$5="",$I$5="",$F$7="",$C$5&lt;0,$F$5&lt;0,$I$5&lt;1,$I$5&gt;36,MOD($I$5,1)&lt;&gt;0,24&gt;$I$5),"",24)</x:f>
      </x:c>
      <x:c r="B34" s="36" t="str">
        <x:f>IF(A34="","",EDATE($F$7,A34-1))</x:f>
      </x:c>
      <x:c r="C34" s="34" t="str">
        <x:f>IF(A34="","",$C$5)</x:f>
      </x:c>
      <x:c r="D34" s="34" t="str">
        <x:f>IF(A34="","",IF(A34=$I$5,$C$5,0))</x:f>
      </x:c>
      <x:c r="E34" s="34" t="str">
        <x:f>IF(A34="","",ROUND(C34*$F$5/12,0))</x:f>
      </x:c>
      <x:c r="F34" s="34" t="str">
        <x:f>IF(A34="","",D34+E34)</x:f>
      </x:c>
      <x:c r="G34" s="22"/>
      <x:c r="H34" s="22"/>
      <x:c r="I34" s="26"/>
      <x:c r="J34" s="20"/>
      <x:c r="K34" s="34" t="str">
        <x:f>IF(OR($C$5="",COUNT(G$11:G34)=0),"",$C$5-SUM(G$11:G34))</x:f>
      </x:c>
    </x:row>
    <x:row r="35" ht="23" customHeight="1">
      <x:c r="A35" s="32" t="str">
        <x:f>IF(OR($C$5="",$F$5="",$I$5="",$F$7="",$C$5&lt;0,$F$5&lt;0,$I$5&lt;1,$I$5&gt;36,MOD($I$5,1)&lt;&gt;0,25&gt;$I$5),"",25)</x:f>
      </x:c>
      <x:c r="B35" s="36" t="str">
        <x:f>IF(A35="","",EDATE($F$7,A35-1))</x:f>
      </x:c>
      <x:c r="C35" s="34" t="str">
        <x:f>IF(A35="","",$C$5)</x:f>
      </x:c>
      <x:c r="D35" s="34" t="str">
        <x:f>IF(A35="","",IF(A35=$I$5,$C$5,0))</x:f>
      </x:c>
      <x:c r="E35" s="34" t="str">
        <x:f>IF(A35="","",ROUND(C35*$F$5/12,0))</x:f>
      </x:c>
      <x:c r="F35" s="34" t="str">
        <x:f>IF(A35="","",D35+E35)</x:f>
      </x:c>
      <x:c r="G35" s="22"/>
      <x:c r="H35" s="22"/>
      <x:c r="I35" s="26"/>
      <x:c r="J35" s="20"/>
      <x:c r="K35" s="34" t="str">
        <x:f>IF(OR($C$5="",COUNT(G$11:G35)=0),"",$C$5-SUM(G$11:G35))</x:f>
      </x:c>
    </x:row>
    <x:row r="36" ht="23" customHeight="1">
      <x:c r="A36" s="32" t="str">
        <x:f>IF(OR($C$5="",$F$5="",$I$5="",$F$7="",$C$5&lt;0,$F$5&lt;0,$I$5&lt;1,$I$5&gt;36,MOD($I$5,1)&lt;&gt;0,26&gt;$I$5),"",26)</x:f>
      </x:c>
      <x:c r="B36" s="36" t="str">
        <x:f>IF(A36="","",EDATE($F$7,A36-1))</x:f>
      </x:c>
      <x:c r="C36" s="34" t="str">
        <x:f>IF(A36="","",$C$5)</x:f>
      </x:c>
      <x:c r="D36" s="34" t="str">
        <x:f>IF(A36="","",IF(A36=$I$5,$C$5,0))</x:f>
      </x:c>
      <x:c r="E36" s="34" t="str">
        <x:f>IF(A36="","",ROUND(C36*$F$5/12,0))</x:f>
      </x:c>
      <x:c r="F36" s="34" t="str">
        <x:f>IF(A36="","",D36+E36)</x:f>
      </x:c>
      <x:c r="G36" s="22"/>
      <x:c r="H36" s="22"/>
      <x:c r="I36" s="26"/>
      <x:c r="J36" s="20"/>
      <x:c r="K36" s="34" t="str">
        <x:f>IF(OR($C$5="",COUNT(G$11:G36)=0),"",$C$5-SUM(G$11:G36))</x:f>
      </x:c>
    </x:row>
    <x:row r="37" ht="23" customHeight="1">
      <x:c r="A37" s="32" t="str">
        <x:f>IF(OR($C$5="",$F$5="",$I$5="",$F$7="",$C$5&lt;0,$F$5&lt;0,$I$5&lt;1,$I$5&gt;36,MOD($I$5,1)&lt;&gt;0,27&gt;$I$5),"",27)</x:f>
      </x:c>
      <x:c r="B37" s="36" t="str">
        <x:f>IF(A37="","",EDATE($F$7,A37-1))</x:f>
      </x:c>
      <x:c r="C37" s="34" t="str">
        <x:f>IF(A37="","",$C$5)</x:f>
      </x:c>
      <x:c r="D37" s="34" t="str">
        <x:f>IF(A37="","",IF(A37=$I$5,$C$5,0))</x:f>
      </x:c>
      <x:c r="E37" s="34" t="str">
        <x:f>IF(A37="","",ROUND(C37*$F$5/12,0))</x:f>
      </x:c>
      <x:c r="F37" s="34" t="str">
        <x:f>IF(A37="","",D37+E37)</x:f>
      </x:c>
      <x:c r="G37" s="22"/>
      <x:c r="H37" s="22"/>
      <x:c r="I37" s="26"/>
      <x:c r="J37" s="20"/>
      <x:c r="K37" s="34" t="str">
        <x:f>IF(OR($C$5="",COUNT(G$11:G37)=0),"",$C$5-SUM(G$11:G37))</x:f>
      </x:c>
    </x:row>
    <x:row r="38" ht="23" customHeight="1">
      <x:c r="A38" s="32" t="str">
        <x:f>IF(OR($C$5="",$F$5="",$I$5="",$F$7="",$C$5&lt;0,$F$5&lt;0,$I$5&lt;1,$I$5&gt;36,MOD($I$5,1)&lt;&gt;0,28&gt;$I$5),"",28)</x:f>
      </x:c>
      <x:c r="B38" s="36" t="str">
        <x:f>IF(A38="","",EDATE($F$7,A38-1))</x:f>
      </x:c>
      <x:c r="C38" s="34" t="str">
        <x:f>IF(A38="","",$C$5)</x:f>
      </x:c>
      <x:c r="D38" s="34" t="str">
        <x:f>IF(A38="","",IF(A38=$I$5,$C$5,0))</x:f>
      </x:c>
      <x:c r="E38" s="34" t="str">
        <x:f>IF(A38="","",ROUND(C38*$F$5/12,0))</x:f>
      </x:c>
      <x:c r="F38" s="34" t="str">
        <x:f>IF(A38="","",D38+E38)</x:f>
      </x:c>
      <x:c r="G38" s="22"/>
      <x:c r="H38" s="22"/>
      <x:c r="I38" s="26"/>
      <x:c r="J38" s="20"/>
      <x:c r="K38" s="34" t="str">
        <x:f>IF(OR($C$5="",COUNT(G$11:G38)=0),"",$C$5-SUM(G$11:G38))</x:f>
      </x:c>
    </x:row>
    <x:row r="39" ht="23" customHeight="1">
      <x:c r="A39" s="32" t="str">
        <x:f>IF(OR($C$5="",$F$5="",$I$5="",$F$7="",$C$5&lt;0,$F$5&lt;0,$I$5&lt;1,$I$5&gt;36,MOD($I$5,1)&lt;&gt;0,29&gt;$I$5),"",29)</x:f>
      </x:c>
      <x:c r="B39" s="36" t="str">
        <x:f>IF(A39="","",EDATE($F$7,A39-1))</x:f>
      </x:c>
      <x:c r="C39" s="34" t="str">
        <x:f>IF(A39="","",$C$5)</x:f>
      </x:c>
      <x:c r="D39" s="34" t="str">
        <x:f>IF(A39="","",IF(A39=$I$5,$C$5,0))</x:f>
      </x:c>
      <x:c r="E39" s="34" t="str">
        <x:f>IF(A39="","",ROUND(C39*$F$5/12,0))</x:f>
      </x:c>
      <x:c r="F39" s="34" t="str">
        <x:f>IF(A39="","",D39+E39)</x:f>
      </x:c>
      <x:c r="G39" s="22"/>
      <x:c r="H39" s="22"/>
      <x:c r="I39" s="26"/>
      <x:c r="J39" s="20"/>
      <x:c r="K39" s="34" t="str">
        <x:f>IF(OR($C$5="",COUNT(G$11:G39)=0),"",$C$5-SUM(G$11:G39))</x:f>
      </x:c>
    </x:row>
    <x:row r="40" ht="23" customHeight="1">
      <x:c r="A40" s="32" t="str">
        <x:f>IF(OR($C$5="",$F$5="",$I$5="",$F$7="",$C$5&lt;0,$F$5&lt;0,$I$5&lt;1,$I$5&gt;36,MOD($I$5,1)&lt;&gt;0,30&gt;$I$5),"",30)</x:f>
      </x:c>
      <x:c r="B40" s="36" t="str">
        <x:f>IF(A40="","",EDATE($F$7,A40-1))</x:f>
      </x:c>
      <x:c r="C40" s="34" t="str">
        <x:f>IF(A40="","",$C$5)</x:f>
      </x:c>
      <x:c r="D40" s="34" t="str">
        <x:f>IF(A40="","",IF(A40=$I$5,$C$5,0))</x:f>
      </x:c>
      <x:c r="E40" s="34" t="str">
        <x:f>IF(A40="","",ROUND(C40*$F$5/12,0))</x:f>
      </x:c>
      <x:c r="F40" s="34" t="str">
        <x:f>IF(A40="","",D40+E40)</x:f>
      </x:c>
      <x:c r="G40" s="22"/>
      <x:c r="H40" s="22"/>
      <x:c r="I40" s="26"/>
      <x:c r="J40" s="20"/>
      <x:c r="K40" s="34" t="str">
        <x:f>IF(OR($C$5="",COUNT(G$11:G40)=0),"",$C$5-SUM(G$11:G40))</x:f>
      </x:c>
    </x:row>
    <x:row r="41" ht="23" customHeight="1">
      <x:c r="A41" s="32" t="str">
        <x:f>IF(OR($C$5="",$F$5="",$I$5="",$F$7="",$C$5&lt;0,$F$5&lt;0,$I$5&lt;1,$I$5&gt;36,MOD($I$5,1)&lt;&gt;0,31&gt;$I$5),"",31)</x:f>
      </x:c>
      <x:c r="B41" s="36" t="str">
        <x:f>IF(A41="","",EDATE($F$7,A41-1))</x:f>
      </x:c>
      <x:c r="C41" s="34" t="str">
        <x:f>IF(A41="","",$C$5)</x:f>
      </x:c>
      <x:c r="D41" s="34" t="str">
        <x:f>IF(A41="","",IF(A41=$I$5,$C$5,0))</x:f>
      </x:c>
      <x:c r="E41" s="34" t="str">
        <x:f>IF(A41="","",ROUND(C41*$F$5/12,0))</x:f>
      </x:c>
      <x:c r="F41" s="34" t="str">
        <x:f>IF(A41="","",D41+E41)</x:f>
      </x:c>
      <x:c r="G41" s="22"/>
      <x:c r="H41" s="22"/>
      <x:c r="I41" s="26"/>
      <x:c r="J41" s="20"/>
      <x:c r="K41" s="34" t="str">
        <x:f>IF(OR($C$5="",COUNT(G$11:G41)=0),"",$C$5-SUM(G$11:G41))</x:f>
      </x:c>
    </x:row>
    <x:row r="42" ht="23" customHeight="1">
      <x:c r="A42" s="32" t="str">
        <x:f>IF(OR($C$5="",$F$5="",$I$5="",$F$7="",$C$5&lt;0,$F$5&lt;0,$I$5&lt;1,$I$5&gt;36,MOD($I$5,1)&lt;&gt;0,32&gt;$I$5),"",32)</x:f>
      </x:c>
      <x:c r="B42" s="36" t="str">
        <x:f>IF(A42="","",EDATE($F$7,A42-1))</x:f>
      </x:c>
      <x:c r="C42" s="34" t="str">
        <x:f>IF(A42="","",$C$5)</x:f>
      </x:c>
      <x:c r="D42" s="34" t="str">
        <x:f>IF(A42="","",IF(A42=$I$5,$C$5,0))</x:f>
      </x:c>
      <x:c r="E42" s="34" t="str">
        <x:f>IF(A42="","",ROUND(C42*$F$5/12,0))</x:f>
      </x:c>
      <x:c r="F42" s="34" t="str">
        <x:f>IF(A42="","",D42+E42)</x:f>
      </x:c>
      <x:c r="G42" s="22"/>
      <x:c r="H42" s="22"/>
      <x:c r="I42" s="26"/>
      <x:c r="J42" s="20"/>
      <x:c r="K42" s="34" t="str">
        <x:f>IF(OR($C$5="",COUNT(G$11:G42)=0),"",$C$5-SUM(G$11:G42))</x:f>
      </x:c>
    </x:row>
    <x:row r="43" ht="23" customHeight="1">
      <x:c r="A43" s="32" t="str">
        <x:f>IF(OR($C$5="",$F$5="",$I$5="",$F$7="",$C$5&lt;0,$F$5&lt;0,$I$5&lt;1,$I$5&gt;36,MOD($I$5,1)&lt;&gt;0,33&gt;$I$5),"",33)</x:f>
      </x:c>
      <x:c r="B43" s="36" t="str">
        <x:f>IF(A43="","",EDATE($F$7,A43-1))</x:f>
      </x:c>
      <x:c r="C43" s="34" t="str">
        <x:f>IF(A43="","",$C$5)</x:f>
      </x:c>
      <x:c r="D43" s="34" t="str">
        <x:f>IF(A43="","",IF(A43=$I$5,$C$5,0))</x:f>
      </x:c>
      <x:c r="E43" s="34" t="str">
        <x:f>IF(A43="","",ROUND(C43*$F$5/12,0))</x:f>
      </x:c>
      <x:c r="F43" s="34" t="str">
        <x:f>IF(A43="","",D43+E43)</x:f>
      </x:c>
      <x:c r="G43" s="22"/>
      <x:c r="H43" s="22"/>
      <x:c r="I43" s="26"/>
      <x:c r="J43" s="20"/>
      <x:c r="K43" s="34" t="str">
        <x:f>IF(OR($C$5="",COUNT(G$11:G43)=0),"",$C$5-SUM(G$11:G43))</x:f>
      </x:c>
    </x:row>
    <x:row r="44" ht="23" customHeight="1">
      <x:c r="A44" s="32" t="str">
        <x:f>IF(OR($C$5="",$F$5="",$I$5="",$F$7="",$C$5&lt;0,$F$5&lt;0,$I$5&lt;1,$I$5&gt;36,MOD($I$5,1)&lt;&gt;0,34&gt;$I$5),"",34)</x:f>
      </x:c>
      <x:c r="B44" s="36" t="str">
        <x:f>IF(A44="","",EDATE($F$7,A44-1))</x:f>
      </x:c>
      <x:c r="C44" s="34" t="str">
        <x:f>IF(A44="","",$C$5)</x:f>
      </x:c>
      <x:c r="D44" s="34" t="str">
        <x:f>IF(A44="","",IF(A44=$I$5,$C$5,0))</x:f>
      </x:c>
      <x:c r="E44" s="34" t="str">
        <x:f>IF(A44="","",ROUND(C44*$F$5/12,0))</x:f>
      </x:c>
      <x:c r="F44" s="34" t="str">
        <x:f>IF(A44="","",D44+E44)</x:f>
      </x:c>
      <x:c r="G44" s="22"/>
      <x:c r="H44" s="22"/>
      <x:c r="I44" s="26"/>
      <x:c r="J44" s="20"/>
      <x:c r="K44" s="34" t="str">
        <x:f>IF(OR($C$5="",COUNT(G$11:G44)=0),"",$C$5-SUM(G$11:G44))</x:f>
      </x:c>
    </x:row>
    <x:row r="45" ht="23" customHeight="1">
      <x:c r="A45" s="32" t="str">
        <x:f>IF(OR($C$5="",$F$5="",$I$5="",$F$7="",$C$5&lt;0,$F$5&lt;0,$I$5&lt;1,$I$5&gt;36,MOD($I$5,1)&lt;&gt;0,35&gt;$I$5),"",35)</x:f>
      </x:c>
      <x:c r="B45" s="36" t="str">
        <x:f>IF(A45="","",EDATE($F$7,A45-1))</x:f>
      </x:c>
      <x:c r="C45" s="34" t="str">
        <x:f>IF(A45="","",$C$5)</x:f>
      </x:c>
      <x:c r="D45" s="34" t="str">
        <x:f>IF(A45="","",IF(A45=$I$5,$C$5,0))</x:f>
      </x:c>
      <x:c r="E45" s="34" t="str">
        <x:f>IF(A45="","",ROUND(C45*$F$5/12,0))</x:f>
      </x:c>
      <x:c r="F45" s="34" t="str">
        <x:f>IF(A45="","",D45+E45)</x:f>
      </x:c>
      <x:c r="G45" s="22"/>
      <x:c r="H45" s="22"/>
      <x:c r="I45" s="26"/>
      <x:c r="J45" s="20"/>
      <x:c r="K45" s="34" t="str">
        <x:f>IF(OR($C$5="",COUNT(G$11:G45)=0),"",$C$5-SUM(G$11:G45))</x:f>
      </x:c>
    </x:row>
    <x:row r="46" ht="23" customHeight="1">
      <x:c r="A46" s="32" t="str">
        <x:f>IF(OR($C$5="",$F$5="",$I$5="",$F$7="",$C$5&lt;0,$F$5&lt;0,$I$5&lt;1,$I$5&gt;36,MOD($I$5,1)&lt;&gt;0,36&gt;$I$5),"",36)</x:f>
      </x:c>
      <x:c r="B46" s="36" t="str">
        <x:f>IF(A46="","",EDATE($F$7,A46-1))</x:f>
      </x:c>
      <x:c r="C46" s="34" t="str">
        <x:f>IF(A46="","",$C$5)</x:f>
      </x:c>
      <x:c r="D46" s="34" t="str">
        <x:f>IF(A46="","",IF(A46=$I$5,$C$5,0))</x:f>
      </x:c>
      <x:c r="E46" s="34" t="str">
        <x:f>IF(A46="","",ROUND(C46*$F$5/12,0))</x:f>
      </x:c>
      <x:c r="F46" s="34" t="str">
        <x:f>IF(A46="","",D46+E46)</x:f>
      </x:c>
      <x:c r="G46" s="22"/>
      <x:c r="H46" s="22"/>
      <x:c r="I46" s="26"/>
      <x:c r="J46" s="20"/>
      <x:c r="K46" s="34" t="str">
        <x:f>IF(OR($C$5="",COUNT(G$11:G46)=0),"",$C$5-SUM(G$11:G46))</x:f>
      </x:c>
    </x:row>
    <x:row r="47" ht="23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 ht="23" customHeight="1">
      <x:c r="A48" s="6" t="str">
        <x:v>합계</x:v>
      </x:c>
      <x:c r="B48" s="6"/>
      <x:c r="C48" s="6"/>
      <x:c r="D48" s="34" t="n">
        <x:f>IF(COUNT(D11:D46)=0,"",SUM(D11:D46))</x:f>
        <x:v>100000000</x:v>
      </x:c>
      <x:c r="E48" s="34" t="n">
        <x:f>IF(COUNT(E11:E46)=0,"",SUM(E11:E46))</x:f>
        <x:v>3000000</x:v>
      </x:c>
      <x:c r="F48" s="34" t="n">
        <x:f>IF(COUNT(F11:F46)=0,"",SUM(F11:F46))</x:f>
        <x:v>103000000</x:v>
      </x:c>
      <x:c r="G48" s="34" t="str">
        <x:f>IF(COUNT(G11:G46)=0,"",SUM(G11:G46))</x:f>
      </x:c>
      <x:c r="H48" s="34" t="str">
        <x:f>IF(COUNT(H11:H46)=0,"",SUM(H11:H46))</x:f>
      </x:c>
      <x:c r="I48" s="6"/>
      <x:c r="J48" s="6"/>
      <x:c r="K48" s="6"/>
    </x:row>
    <x:row r="49" ht="23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ht="23" customHeight="1">
      <x:c r="A50" s="6" t="str">
        <x:v>실제 지급란은 계획을 자동 복사하지 않습니다. 조기 원금상환·부분월·연체·원천징수 등은 별도 정산하며, 이 파일은 법정 이자·세액 계산기가 아닙니다. 예시의 실제 지급란은 일부러 비워두었습니다.</x:v>
      </x:c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 ht="23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 ht="23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 ht="23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</x:sheetData>
  <x:mergeCells>
    <x:mergeCell ref="A1:K2"/>
    <x:mergeCell ref="A3:K3"/>
    <x:mergeCell ref="A5:B5"/>
    <x:mergeCell ref="D5:E5"/>
    <x:mergeCell ref="G5:H5"/>
    <x:mergeCell ref="A7:B7"/>
    <x:mergeCell ref="D7:E7"/>
    <x:mergeCell ref="A50:K52"/>
    <x:mergeCell ref="G7:K7"/>
  </x:mergeCells>
  <x:dataValidations count="1">
    <x:dataValidation type="list" sqref="I5">
      <x:formula1>"1,2,3,4,5,6,7,8,9,10,11,12,13,14,15,16,17,18,19,20,21,22,23,24,25,26,27,28,29,30,31,32,33,34,35,36"</x:formula1>
    </x:dataValidation>
  </x:dataValidations>
  <x:pageMargins left="0.7" right="0.7" top="0.75" bottom="0.75" header="0.3" footer="0.3"/>
</x:worksheet>
</file>